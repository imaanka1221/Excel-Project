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esktop\"/>
    </mc:Choice>
  </mc:AlternateContent>
  <xr:revisionPtr revIDLastSave="0" documentId="8_{997CFA68-9B71-4401-B773-09746A81F40A}" xr6:coauthVersionLast="47" xr6:coauthVersionMax="47" xr10:uidLastSave="{00000000-0000-0000-0000-000000000000}"/>
  <bookViews>
    <workbookView xWindow="-132" yWindow="-132" windowWidth="23304" windowHeight="12504" firstSheet="6" activeTab="8" xr2:uid="{00000000-000D-0000-FFFF-FFFF00000000}"/>
  </bookViews>
  <sheets>
    <sheet name="Project_Index" sheetId="1" r:id="rId1"/>
    <sheet name="Data_clean" sheetId="38" r:id="rId2"/>
    <sheet name="06_Electricity" sheetId="6" r:id="rId3"/>
    <sheet name="PivotAreaByRevenue" sheetId="30" r:id="rId4"/>
    <sheet name="PovitCustomerType" sheetId="31" r:id="rId5"/>
    <sheet name="PovitPayment" sheetId="32" r:id="rId6"/>
    <sheet name="PivotReading_date" sheetId="33" r:id="rId7"/>
    <sheet name="PovitConsumptionbyArea" sheetId="35" r:id="rId8"/>
    <sheet name="Dashboard" sheetId="34" r:id="rId9"/>
    <sheet name="Analysis" sheetId="37" r:id="rId10"/>
    <sheet name="pivot table" sheetId="28" r:id="rId11"/>
  </sheets>
  <definedNames>
    <definedName name="_xlnm._FilterDatabase" localSheetId="2" hidden="1">'06_Electricity'!$A$1:$G$301</definedName>
    <definedName name="_xlnm._FilterDatabase" localSheetId="1" hidden="1">Data_clean!$A$1:$G$301</definedName>
    <definedName name="Slicer_Area">#N/A</definedName>
    <definedName name="Slicer_Area1">#N/A</definedName>
    <definedName name="Slicer_Customer_Type">#N/A</definedName>
    <definedName name="Slicer_Customer_Type1">#N/A</definedName>
    <definedName name="Slicer_Payment_Status">#N/A</definedName>
    <definedName name="Slicer_Payment_Status1">#N/A</definedName>
    <definedName name="Slicer_Reading_Date1">#N/A</definedName>
  </definedNames>
  <calcPr calcId="181029"/>
  <pivotCaches>
    <pivotCache cacheId="14" r:id="rId12"/>
    <pivotCache cacheId="34" r:id="rId13"/>
    <pivotCache cacheId="42"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34" i="38" l="1"/>
  <c r="J24" i="37"/>
  <c r="J31" i="37" s="1"/>
  <c r="H62" i="38"/>
  <c r="H6" i="38"/>
  <c r="H73" i="38"/>
  <c r="H24" i="38"/>
  <c r="H30" i="38"/>
  <c r="H58" i="38"/>
  <c r="H3" i="38"/>
  <c r="H7" i="38"/>
  <c r="H11" i="38"/>
  <c r="H50" i="38"/>
  <c r="H38" i="38"/>
  <c r="H29" i="38"/>
  <c r="H66" i="38"/>
  <c r="H14" i="38"/>
  <c r="H37" i="38"/>
  <c r="H46" i="38"/>
  <c r="H12" i="38"/>
  <c r="H23" i="38"/>
  <c r="H25" i="38"/>
  <c r="H69" i="38"/>
  <c r="H18" i="38"/>
  <c r="H54" i="38"/>
  <c r="H36" i="38"/>
  <c r="H13" i="38"/>
  <c r="H56" i="38"/>
  <c r="H39" i="38"/>
  <c r="H27" i="38"/>
  <c r="H65" i="38"/>
  <c r="H67" i="38"/>
  <c r="H19" i="38"/>
  <c r="H15" i="38"/>
  <c r="H35" i="38"/>
  <c r="H70" i="38"/>
  <c r="H47" i="38"/>
  <c r="H22" i="38"/>
  <c r="H71" i="38"/>
  <c r="H74" i="38"/>
  <c r="H59" i="38"/>
  <c r="H26" i="38"/>
  <c r="H61" i="38"/>
  <c r="H42" i="38"/>
  <c r="H16" i="38"/>
  <c r="H64" i="38"/>
  <c r="H4" i="38"/>
  <c r="H75" i="38"/>
  <c r="H5" i="38"/>
  <c r="H55" i="38"/>
  <c r="H53" i="38"/>
  <c r="H57" i="38"/>
  <c r="H60" i="38"/>
  <c r="H43" i="38"/>
  <c r="H21" i="38"/>
  <c r="H31" i="38"/>
  <c r="H76" i="38"/>
  <c r="H9" i="38"/>
  <c r="H52" i="38"/>
  <c r="H10" i="38"/>
  <c r="H68" i="38"/>
  <c r="H49" i="38"/>
  <c r="H41" i="38"/>
  <c r="H2" i="38"/>
  <c r="H28" i="38"/>
  <c r="H51" i="38"/>
  <c r="H44" i="38"/>
  <c r="H8" i="38"/>
  <c r="H72" i="38"/>
  <c r="H48" i="38"/>
  <c r="H32" i="38"/>
  <c r="H45" i="38"/>
  <c r="H40" i="38"/>
  <c r="H63" i="38"/>
  <c r="H17" i="38"/>
  <c r="H33" i="38"/>
  <c r="H20" i="38"/>
  <c r="H89" i="38"/>
  <c r="H77" i="38"/>
  <c r="H83" i="38"/>
  <c r="H91" i="38"/>
  <c r="H95" i="38"/>
  <c r="H79" i="38"/>
  <c r="H96" i="38"/>
  <c r="H92" i="38"/>
  <c r="H93" i="38"/>
  <c r="H90" i="38"/>
  <c r="H86" i="38"/>
  <c r="H87" i="38"/>
  <c r="H81" i="38"/>
  <c r="H80" i="38"/>
  <c r="H94" i="38"/>
  <c r="H78" i="38"/>
  <c r="H85" i="38"/>
  <c r="H82" i="38"/>
  <c r="H88" i="38"/>
  <c r="H84" i="38"/>
  <c r="H97" i="38"/>
  <c r="H98" i="38"/>
  <c r="H99" i="38"/>
  <c r="H100" i="38"/>
  <c r="H101" i="38"/>
  <c r="H102" i="38"/>
  <c r="H103" i="38"/>
  <c r="H104" i="38"/>
  <c r="H105" i="38"/>
  <c r="H106" i="38"/>
  <c r="H107" i="38"/>
  <c r="H108" i="38"/>
  <c r="H109" i="38"/>
  <c r="H110" i="38"/>
  <c r="H111" i="38"/>
  <c r="H112" i="38"/>
  <c r="H113" i="38"/>
  <c r="H114" i="38"/>
  <c r="H115" i="38"/>
  <c r="H116" i="38"/>
  <c r="H117" i="38"/>
  <c r="H118" i="38"/>
  <c r="H119" i="38"/>
  <c r="H120" i="38"/>
  <c r="H121" i="38"/>
  <c r="H122" i="38"/>
  <c r="H123" i="38"/>
  <c r="H124" i="38"/>
  <c r="H125" i="38"/>
  <c r="H126" i="38"/>
  <c r="H127" i="38"/>
  <c r="H128" i="38"/>
  <c r="H129" i="38"/>
  <c r="H130" i="38"/>
  <c r="H131" i="38"/>
  <c r="H132" i="38"/>
  <c r="H133" i="38"/>
  <c r="H134" i="38"/>
  <c r="H135" i="38"/>
  <c r="H136" i="38"/>
  <c r="H137" i="38"/>
  <c r="H138" i="38"/>
  <c r="H139" i="38"/>
  <c r="H140" i="38"/>
  <c r="H141" i="38"/>
  <c r="H142" i="38"/>
  <c r="H143" i="38"/>
  <c r="H144" i="38"/>
  <c r="H145" i="38"/>
  <c r="H146" i="38"/>
  <c r="H147" i="38"/>
  <c r="H148" i="38"/>
  <c r="H149" i="38"/>
  <c r="H150" i="38"/>
  <c r="H151" i="38"/>
  <c r="H152" i="38"/>
  <c r="H153" i="38"/>
  <c r="H154" i="38"/>
  <c r="H155" i="38"/>
  <c r="H156" i="38"/>
  <c r="H157" i="38"/>
  <c r="H158" i="38"/>
  <c r="H159" i="38"/>
  <c r="H160" i="38"/>
  <c r="H161" i="38"/>
  <c r="H162" i="38"/>
  <c r="H163" i="38"/>
  <c r="H164" i="38"/>
  <c r="H165" i="38"/>
  <c r="H166" i="38"/>
  <c r="H167" i="38"/>
  <c r="H168" i="38"/>
  <c r="H169" i="38"/>
  <c r="H170" i="38"/>
  <c r="H171" i="38"/>
  <c r="H172" i="38"/>
  <c r="H173" i="38"/>
  <c r="H174" i="38"/>
  <c r="H175" i="38"/>
  <c r="H176" i="38"/>
  <c r="H177" i="38"/>
  <c r="H178" i="38"/>
  <c r="H179" i="38"/>
  <c r="H180" i="38"/>
  <c r="H181" i="38"/>
  <c r="H182" i="38"/>
  <c r="H183" i="38"/>
  <c r="H184" i="38"/>
  <c r="H185" i="38"/>
  <c r="H186" i="38"/>
  <c r="H187" i="38"/>
  <c r="H188" i="38"/>
  <c r="H189" i="38"/>
  <c r="H190" i="38"/>
  <c r="H191" i="38"/>
  <c r="H192" i="38"/>
  <c r="H193" i="38"/>
  <c r="H194" i="38"/>
  <c r="H195" i="38"/>
  <c r="H196" i="38"/>
  <c r="H197" i="38"/>
  <c r="H198" i="38"/>
  <c r="H199" i="38"/>
  <c r="H200" i="38"/>
  <c r="H201" i="38"/>
  <c r="H202" i="38"/>
  <c r="H203" i="38"/>
  <c r="H204" i="38"/>
  <c r="H205" i="38"/>
  <c r="H206" i="38"/>
  <c r="H207" i="38"/>
  <c r="H208" i="38"/>
  <c r="H209" i="38"/>
  <c r="H210" i="38"/>
  <c r="H211" i="38"/>
  <c r="H212" i="38"/>
  <c r="H213" i="38"/>
  <c r="H214" i="38"/>
  <c r="H215" i="38"/>
  <c r="H216" i="38"/>
  <c r="H217" i="38"/>
  <c r="H218" i="38"/>
  <c r="H219" i="38"/>
  <c r="H220" i="38"/>
  <c r="H221" i="38"/>
  <c r="H222" i="38"/>
  <c r="H223" i="38"/>
  <c r="H224" i="38"/>
  <c r="H225" i="38"/>
  <c r="H226" i="38"/>
  <c r="H227" i="38"/>
  <c r="H228" i="38"/>
  <c r="H229" i="38"/>
  <c r="H230" i="38"/>
  <c r="H231" i="38"/>
  <c r="H232" i="38"/>
  <c r="H233" i="38"/>
  <c r="H234" i="38"/>
  <c r="H235" i="38"/>
  <c r="H236" i="38"/>
  <c r="H237" i="38"/>
  <c r="H238" i="38"/>
  <c r="H239" i="38"/>
  <c r="H240" i="38"/>
  <c r="H241" i="38"/>
  <c r="H242" i="38"/>
  <c r="H243" i="38"/>
  <c r="H244" i="38"/>
  <c r="H245" i="38"/>
  <c r="H246" i="38"/>
  <c r="H247" i="38"/>
  <c r="H248" i="38"/>
  <c r="H249" i="38"/>
  <c r="H250" i="38"/>
  <c r="H251" i="38"/>
  <c r="H252" i="38"/>
  <c r="H253" i="38"/>
  <c r="H254" i="38"/>
  <c r="H255" i="38"/>
  <c r="H256" i="38"/>
  <c r="H257" i="38"/>
  <c r="H258" i="38"/>
  <c r="H259" i="38"/>
  <c r="H260" i="38"/>
  <c r="H261" i="38"/>
  <c r="H262" i="38"/>
  <c r="H263" i="38"/>
  <c r="H264" i="38"/>
  <c r="H265" i="38"/>
  <c r="H266" i="38"/>
  <c r="H267" i="38"/>
  <c r="H268" i="38"/>
  <c r="H269" i="38"/>
  <c r="H270" i="38"/>
  <c r="H271" i="38"/>
  <c r="H272" i="38"/>
  <c r="H273" i="38"/>
  <c r="H274" i="38"/>
  <c r="H275" i="38"/>
  <c r="H276" i="38"/>
  <c r="H277" i="38"/>
  <c r="H278" i="38"/>
  <c r="H279" i="38"/>
  <c r="H280" i="38"/>
  <c r="H281" i="38"/>
  <c r="H282" i="38"/>
  <c r="H283" i="38"/>
  <c r="H286" i="38"/>
  <c r="H300" i="38"/>
  <c r="H292" i="38"/>
  <c r="H301" i="38"/>
  <c r="H298" i="38"/>
  <c r="H295" i="38"/>
  <c r="H287" i="38"/>
  <c r="H284" i="38"/>
  <c r="H299" i="38"/>
  <c r="H296" i="38"/>
  <c r="H289" i="38"/>
  <c r="H297" i="38"/>
  <c r="H293" i="38"/>
  <c r="H291" i="38"/>
  <c r="H288" i="38"/>
  <c r="H285" i="38"/>
  <c r="H290" i="38"/>
  <c r="H294" i="38"/>
  <c r="J30" i="37"/>
  <c r="J29" i="37"/>
  <c r="J28" i="37"/>
  <c r="J27" i="37"/>
  <c r="J26" i="37"/>
  <c r="J25" i="37"/>
  <c r="C24" i="37"/>
  <c r="C25" i="37"/>
  <c r="C30" i="37"/>
  <c r="C29" i="37"/>
  <c r="C28" i="37"/>
  <c r="C27" i="37"/>
  <c r="C26" i="37"/>
  <c r="C12" i="37"/>
  <c r="C16" i="37" s="1"/>
  <c r="C14" i="37"/>
  <c r="S14" i="37"/>
  <c r="S13" i="37"/>
  <c r="S12" i="37"/>
  <c r="S11" i="37"/>
  <c r="S10" i="37"/>
  <c r="S9" i="37"/>
  <c r="J9" i="37"/>
  <c r="J16" i="37" s="1"/>
  <c r="J15" i="37"/>
  <c r="J14" i="37"/>
  <c r="J13" i="37"/>
  <c r="J12" i="37"/>
  <c r="J11" i="37"/>
  <c r="J10" i="37"/>
  <c r="C13" i="37"/>
  <c r="C11" i="37"/>
  <c r="C10" i="37"/>
  <c r="C9" i="37"/>
  <c r="C8" i="37"/>
  <c r="G10" i="34"/>
  <c r="Y10" i="34"/>
  <c r="V10" i="34"/>
  <c r="S10" i="34"/>
  <c r="P10" i="34"/>
  <c r="M10" i="34"/>
  <c r="J10" i="34"/>
  <c r="D10" i="34"/>
  <c r="S30" i="37" l="1"/>
  <c r="S27" i="37"/>
  <c r="S28" i="37"/>
  <c r="S24" i="37"/>
  <c r="S29" i="37"/>
  <c r="S25" i="37"/>
  <c r="S26" i="37"/>
  <c r="C31" i="37"/>
  <c r="S31" i="37" l="1"/>
</calcChain>
</file>

<file path=xl/sharedStrings.xml><?xml version="1.0" encoding="utf-8"?>
<sst xmlns="http://schemas.openxmlformats.org/spreadsheetml/2006/main" count="2626" uniqueCount="468">
  <si>
    <t>No.</t>
  </si>
  <si>
    <t>Student Name</t>
  </si>
  <si>
    <t>Project Title</t>
  </si>
  <si>
    <t>Dataset Sheet</t>
  </si>
  <si>
    <t>Rows</t>
  </si>
  <si>
    <t>Columns</t>
  </si>
  <si>
    <t>Status</t>
  </si>
  <si>
    <t>Data Quality Note</t>
  </si>
  <si>
    <t>Aba Muxudiin Ahmed</t>
  </si>
  <si>
    <t>Student Enrollment Data Analysis Using Excel</t>
  </si>
  <si>
    <t>01_Enrollment</t>
  </si>
  <si>
    <t>Ready</t>
  </si>
  <si>
    <t>Each project dataset now includes 15 additional empty cells in every one of its 7 columns for missing-value cleaning practice.</t>
  </si>
  <si>
    <t>Abdikarim Ismail Ali</t>
  </si>
  <si>
    <t>Customer Purchase &amp; Sales Performance Analysis Using Excel</t>
  </si>
  <si>
    <t>02_Sales</t>
  </si>
  <si>
    <t>Abdinajib Abdullahi Muse</t>
  </si>
  <si>
    <t>Employee Attendance Data Analysis Using Excel</t>
  </si>
  <si>
    <t>03_Emp_Attendance</t>
  </si>
  <si>
    <t>Aisha Mohamed Abdullahi</t>
  </si>
  <si>
    <t>Restaurant Sales and Customer Analysis Using Excel</t>
  </si>
  <si>
    <t>04_Restaurant</t>
  </si>
  <si>
    <t>Aniso Ahmed Mohamud</t>
  </si>
  <si>
    <t>TITLE NOT PROVIDED</t>
  </si>
  <si>
    <t>Project title needed</t>
  </si>
  <si>
    <t>Axmed Abduqadir Iman</t>
  </si>
  <si>
    <t>Electricity Consumption Data Analysis Using Excel</t>
  </si>
  <si>
    <t>06_Electricity</t>
  </si>
  <si>
    <t>Ayuub Abdullahi Isxaakh</t>
  </si>
  <si>
    <t>Hospital Patient Data Analysis Using Excel</t>
  </si>
  <si>
    <t>07_Hospital</t>
  </si>
  <si>
    <t>Cayni Abuukar Maxamuud</t>
  </si>
  <si>
    <t>Real Estate Property Data Analysis Using Excel</t>
  </si>
  <si>
    <t>08_Real_Estate</t>
  </si>
  <si>
    <t>Deqo Abdulkhadir Hussein</t>
  </si>
  <si>
    <t>Student Attendance and Academic Analysis</t>
  </si>
  <si>
    <t>09_Academic</t>
  </si>
  <si>
    <t>Faadumo Mahamed Yusuf</t>
  </si>
  <si>
    <t>Internet Usage Data Analysis</t>
  </si>
  <si>
    <t>10_Internet</t>
  </si>
  <si>
    <t>Fardowso Gamadiid Imaan</t>
  </si>
  <si>
    <t>Employee Salary Data Analysis Using Excel</t>
  </si>
  <si>
    <t>11_Salary</t>
  </si>
  <si>
    <t>Fartun Ali Maxamuud</t>
  </si>
  <si>
    <t>Fuel Consumption and Vehicle Analysis Using Excel</t>
  </si>
  <si>
    <t>12_Fuel</t>
  </si>
  <si>
    <t>Faysal Mohamed Dahir</t>
  </si>
  <si>
    <t>Customer Demographic Data Analysis</t>
  </si>
  <si>
    <t>13_Demographic</t>
  </si>
  <si>
    <t>Hawo Abdi Maxamed</t>
  </si>
  <si>
    <t>Weather and Temperature Data Analysis</t>
  </si>
  <si>
    <t>14_Weather</t>
  </si>
  <si>
    <t>Hudeifa Mohamud Ahmed</t>
  </si>
  <si>
    <t>Monthly Expense and Budget Analysis</t>
  </si>
  <si>
    <t>15_Budget</t>
  </si>
  <si>
    <t>Ibrahim Abdullahi Farhan</t>
  </si>
  <si>
    <t>Public Transportation Performance Analysis</t>
  </si>
  <si>
    <t>16_Transport</t>
  </si>
  <si>
    <t>Miski Mohamed Abdullahi</t>
  </si>
  <si>
    <t>Hotel Booking and Customer Analysis</t>
  </si>
  <si>
    <t>17_Hotel</t>
  </si>
  <si>
    <t>Muzamil Tahlil Dahir</t>
  </si>
  <si>
    <t>Inventory and Stock Analysis Using Excel</t>
  </si>
  <si>
    <t>18_Inventory</t>
  </si>
  <si>
    <t>Nasteha Ibraahim Hussien</t>
  </si>
  <si>
    <t>Airline Passenger &amp; Booking Data Analysis Using Excel</t>
  </si>
  <si>
    <t>19_Airline</t>
  </si>
  <si>
    <t>Nimca Abdiraxman Wehliye</t>
  </si>
  <si>
    <t>Marketing Campaign Data Analysis</t>
  </si>
  <si>
    <t>20_Marketing</t>
  </si>
  <si>
    <t>Omar Abdullahi Mohamed</t>
  </si>
  <si>
    <t>Bank Customer Data Analysis Using Excel</t>
  </si>
  <si>
    <t>21_Bank</t>
  </si>
  <si>
    <t>Ramla Abdi Osmaan</t>
  </si>
  <si>
    <t>Insurance Customer Data Analysis Using Excel</t>
  </si>
  <si>
    <t>22_Insurance</t>
  </si>
  <si>
    <t>Shukri idiris mahamed</t>
  </si>
  <si>
    <t>Crime Statistics Data Analysis</t>
  </si>
  <si>
    <t>23_Crime</t>
  </si>
  <si>
    <t>Sucdi Yasin Husein</t>
  </si>
  <si>
    <t>Job Recruitment and Applicant Data Analysis</t>
  </si>
  <si>
    <t>24_Recruitment</t>
  </si>
  <si>
    <t>-</t>
  </si>
  <si>
    <t>N/A</t>
  </si>
  <si>
    <t>NULL</t>
  </si>
  <si>
    <t>Unknown</t>
  </si>
  <si>
    <t>Customer_Type</t>
  </si>
  <si>
    <t>Mogadishu</t>
  </si>
  <si>
    <t>Hargeisa</t>
  </si>
  <si>
    <t>Bosaso</t>
  </si>
  <si>
    <t>Baidoa</t>
  </si>
  <si>
    <t>Kismayo</t>
  </si>
  <si>
    <t>Garowe</t>
  </si>
  <si>
    <t>baidoa</t>
  </si>
  <si>
    <t>Meter_ID</t>
  </si>
  <si>
    <t>Reading_Date</t>
  </si>
  <si>
    <t>Area</t>
  </si>
  <si>
    <t>Units_kWh</t>
  </si>
  <si>
    <t>Tariff_per_kWh</t>
  </si>
  <si>
    <t>Payment_Status</t>
  </si>
  <si>
    <t>MTR0144</t>
  </si>
  <si>
    <t>Residential</t>
  </si>
  <si>
    <t>Pending</t>
  </si>
  <si>
    <t>MTR0151</t>
  </si>
  <si>
    <t>Paid</t>
  </si>
  <si>
    <t>MTR0142</t>
  </si>
  <si>
    <t>Commercial</t>
  </si>
  <si>
    <t>MTR0038</t>
  </si>
  <si>
    <t>MTR0060</t>
  </si>
  <si>
    <t>MTR0190</t>
  </si>
  <si>
    <t>Industrial</t>
  </si>
  <si>
    <t>MTR0180</t>
  </si>
  <si>
    <t>MTR0229</t>
  </si>
  <si>
    <t>MTR0219</t>
  </si>
  <si>
    <t>MTR0278</t>
  </si>
  <si>
    <t>MTR0071</t>
  </si>
  <si>
    <t>MTR0014</t>
  </si>
  <si>
    <t>MTR0196</t>
  </si>
  <si>
    <t>MTR0139</t>
  </si>
  <si>
    <t>MTR0052</t>
  </si>
  <si>
    <t>MTR0128</t>
  </si>
  <si>
    <t>MTR0212</t>
  </si>
  <si>
    <t>MTR0030</t>
  </si>
  <si>
    <t>MTR0095</t>
  </si>
  <si>
    <t>MTR0114</t>
  </si>
  <si>
    <t>MTR0223</t>
  </si>
  <si>
    <t>MTR0174</t>
  </si>
  <si>
    <t>MTR0111</t>
  </si>
  <si>
    <t>MTR0175</t>
  </si>
  <si>
    <t>MTR0104</t>
  </si>
  <si>
    <t>MTR0153</t>
  </si>
  <si>
    <t>MTR0109</t>
  </si>
  <si>
    <t>MTR0108</t>
  </si>
  <si>
    <t>MTR0025</t>
  </si>
  <si>
    <t>MTR0033</t>
  </si>
  <si>
    <t>MTR0018</t>
  </si>
  <si>
    <t>MTR0120</t>
  </si>
  <si>
    <t>pending</t>
  </si>
  <si>
    <t>MTR0218</t>
  </si>
  <si>
    <t>MTR0231</t>
  </si>
  <si>
    <t>MTR0227</t>
  </si>
  <si>
    <t>MTR0285</t>
  </si>
  <si>
    <t>Overdue</t>
  </si>
  <si>
    <t>MTR0244</t>
  </si>
  <si>
    <t>MTR0039</t>
  </si>
  <si>
    <t>MTR0254</t>
  </si>
  <si>
    <t>MTR0255</t>
  </si>
  <si>
    <t>MTR0158</t>
  </si>
  <si>
    <t>MTR0240</t>
  </si>
  <si>
    <t>MTR0204</t>
  </si>
  <si>
    <t>MTR0178</t>
  </si>
  <si>
    <t>MTR0207</t>
  </si>
  <si>
    <t>MTR0091</t>
  </si>
  <si>
    <t>MTR0286</t>
  </si>
  <si>
    <t>MTR0165</t>
  </si>
  <si>
    <t>MTR0209</t>
  </si>
  <si>
    <t>MTR0116</t>
  </si>
  <si>
    <t>MTR0202</t>
  </si>
  <si>
    <t>MTR0088</t>
  </si>
  <si>
    <t>MTR0087</t>
  </si>
  <si>
    <t>MTR0156</t>
  </si>
  <si>
    <t>MTR0239</t>
  </si>
  <si>
    <t>MTR0042</t>
  </si>
  <si>
    <t>MTR0279</t>
  </si>
  <si>
    <t>MTR0049</t>
  </si>
  <si>
    <t>MTR0136</t>
  </si>
  <si>
    <t>OVERDUE</t>
  </si>
  <si>
    <t>MTR0006</t>
  </si>
  <si>
    <t>MTR0260</t>
  </si>
  <si>
    <t>MTR0206</t>
  </si>
  <si>
    <t>MTR0216</t>
  </si>
  <si>
    <t>MTR0015</t>
  </si>
  <si>
    <t>MTR0287</t>
  </si>
  <si>
    <t>MTR0228</t>
  </si>
  <si>
    <t>MTR0077</t>
  </si>
  <si>
    <t>MTR0001</t>
  </si>
  <si>
    <t>MTR0152</t>
  </si>
  <si>
    <t>MTR0215</t>
  </si>
  <si>
    <t>MTR0013</t>
  </si>
  <si>
    <t>MTR0084</t>
  </si>
  <si>
    <t>MTR0106</t>
  </si>
  <si>
    <t>MTR0044</t>
  </si>
  <si>
    <t>MTR0176</t>
  </si>
  <si>
    <t>MTR0230</t>
  </si>
  <si>
    <t>MTR0007</t>
  </si>
  <si>
    <t>MTR0117</t>
  </si>
  <si>
    <t>MTR0185</t>
  </si>
  <si>
    <t>MTR0289</t>
  </si>
  <si>
    <t>MTR0135</t>
  </si>
  <si>
    <t>paid</t>
  </si>
  <si>
    <t>MTR0251</t>
  </si>
  <si>
    <t>MTR0173</t>
  </si>
  <si>
    <t>MTR0268</t>
  </si>
  <si>
    <t>MTR0280</t>
  </si>
  <si>
    <t>MTR0264</t>
  </si>
  <si>
    <t>MTR0253</t>
  </si>
  <si>
    <t>MTR0036</t>
  </si>
  <si>
    <t>MTR0064</t>
  </si>
  <si>
    <t>MTR0019</t>
  </si>
  <si>
    <t>MTR0027</t>
  </si>
  <si>
    <t>MTR0145</t>
  </si>
  <si>
    <t>MTR0072</t>
  </si>
  <si>
    <t>MTR0166</t>
  </si>
  <si>
    <t>MTR0011</t>
  </si>
  <si>
    <t>MTR0126</t>
  </si>
  <si>
    <t>MTR0198</t>
  </si>
  <si>
    <t>MTR0079</t>
  </si>
  <si>
    <t>MTR0002</t>
  </si>
  <si>
    <t>RESIDENTIAL</t>
  </si>
  <si>
    <t>MTR0157</t>
  </si>
  <si>
    <t>MTR0141</t>
  </si>
  <si>
    <t>MTR0024</t>
  </si>
  <si>
    <t>MTR0213</t>
  </si>
  <si>
    <t>MTR0273</t>
  </si>
  <si>
    <t>MTR0043</t>
  </si>
  <si>
    <t>MTR0029</t>
  </si>
  <si>
    <t>MTR0080</t>
  </si>
  <si>
    <t>MTR0137</t>
  </si>
  <si>
    <t>MTR0236</t>
  </si>
  <si>
    <t>MTR0074</t>
  </si>
  <si>
    <t>MTR0124</t>
  </si>
  <si>
    <t>MTR0168</t>
  </si>
  <si>
    <t>MTR0226</t>
  </si>
  <si>
    <t>MTR0138</t>
  </si>
  <si>
    <t>residential</t>
  </si>
  <si>
    <t>MTR0081</t>
  </si>
  <si>
    <t>MTR0089</t>
  </si>
  <si>
    <t>MTR0208</t>
  </si>
  <si>
    <t>MTR0130</t>
  </si>
  <si>
    <t>MTR0098</t>
  </si>
  <si>
    <t>MTR0076</t>
  </si>
  <si>
    <t>MTR0250</t>
  </si>
  <si>
    <t>MTR0265</t>
  </si>
  <si>
    <t>MTR0101</t>
  </si>
  <si>
    <t>MTR0258</t>
  </si>
  <si>
    <t>MTR0125</t>
  </si>
  <si>
    <t>MTR0291</t>
  </si>
  <si>
    <t>MTR0201</t>
  </si>
  <si>
    <t>MTR0163</t>
  </si>
  <si>
    <t>MTR0167</t>
  </si>
  <si>
    <t>MTR0073</t>
  </si>
  <si>
    <t>MTR0271</t>
  </si>
  <si>
    <t>MTR0127</t>
  </si>
  <si>
    <t>MTR0169</t>
  </si>
  <si>
    <t>MTR0035</t>
  </si>
  <si>
    <t>MTR0242</t>
  </si>
  <si>
    <t>MTR0056</t>
  </si>
  <si>
    <t>MTR0058</t>
  </si>
  <si>
    <t>MTR0263</t>
  </si>
  <si>
    <t>MTR0129</t>
  </si>
  <si>
    <t>MTR0143</t>
  </si>
  <si>
    <t>MTR0267</t>
  </si>
  <si>
    <t>MTR0177</t>
  </si>
  <si>
    <t>MTR0034</t>
  </si>
  <si>
    <t>MTR0252</t>
  </si>
  <si>
    <t>MTR0184</t>
  </si>
  <si>
    <t>MTR0003</t>
  </si>
  <si>
    <t>MTR0070</t>
  </si>
  <si>
    <t>MTR0131</t>
  </si>
  <si>
    <t>MTR0274</t>
  </si>
  <si>
    <t>MTR0119</t>
  </si>
  <si>
    <t>MTR0146</t>
  </si>
  <si>
    <t>MTR0154</t>
  </si>
  <si>
    <t>MTR0199</t>
  </si>
  <si>
    <t>MTR0097</t>
  </si>
  <si>
    <t>MTR0172</t>
  </si>
  <si>
    <t>MTR0010</t>
  </si>
  <si>
    <t>MTR0050</t>
  </si>
  <si>
    <t>MTR0040</t>
  </si>
  <si>
    <t>MTR0099</t>
  </si>
  <si>
    <t>MTR0193</t>
  </si>
  <si>
    <t>MTR0069</t>
  </si>
  <si>
    <t>MTR0005</t>
  </si>
  <si>
    <t>MTR0235</t>
  </si>
  <si>
    <t>MTR0041</t>
  </si>
  <si>
    <t>MTR0026</t>
  </si>
  <si>
    <t>MTR0247</t>
  </si>
  <si>
    <t>MTR0270</t>
  </si>
  <si>
    <t>MTR0195</t>
  </si>
  <si>
    <t>MTR0103</t>
  </si>
  <si>
    <t>MTR0121</t>
  </si>
  <si>
    <t>MTR0197</t>
  </si>
  <si>
    <t>MTR0062</t>
  </si>
  <si>
    <t>MTR0092</t>
  </si>
  <si>
    <t>MTR0181</t>
  </si>
  <si>
    <t>MTR0112</t>
  </si>
  <si>
    <t>MTR0061</t>
  </si>
  <si>
    <t>MTR0210</t>
  </si>
  <si>
    <t>MTR0066</t>
  </si>
  <si>
    <t>MTR0105</t>
  </si>
  <si>
    <t>MTR0214</t>
  </si>
  <si>
    <t>MTR0179</t>
  </si>
  <si>
    <t>MTR0150</t>
  </si>
  <si>
    <t>MTR0170</t>
  </si>
  <si>
    <t>MTR0238</t>
  </si>
  <si>
    <t>MTR0217</t>
  </si>
  <si>
    <t>MTR0261</t>
  </si>
  <si>
    <t>MTR0053</t>
  </si>
  <si>
    <t>MTR0221</t>
  </si>
  <si>
    <t>MTR0122</t>
  </si>
  <si>
    <t>MTR0290</t>
  </si>
  <si>
    <t>MTR0075</t>
  </si>
  <si>
    <t>MTR0090</t>
  </si>
  <si>
    <t>MTR0275</t>
  </si>
  <si>
    <t>MTR0021</t>
  </si>
  <si>
    <t>MTR0096</t>
  </si>
  <si>
    <t>MTR0159</t>
  </si>
  <si>
    <t>MTR0113</t>
  </si>
  <si>
    <t>MTR0259</t>
  </si>
  <si>
    <t>MTR0188</t>
  </si>
  <si>
    <t>MTR0281</t>
  </si>
  <si>
    <t>MTR0246</t>
  </si>
  <si>
    <t>MTR0123</t>
  </si>
  <si>
    <t>MTR0272</t>
  </si>
  <si>
    <t>MTR0016</t>
  </si>
  <si>
    <t>MTR0277</t>
  </si>
  <si>
    <t>MTR0245</t>
  </si>
  <si>
    <t>MTR0132</t>
  </si>
  <si>
    <t>MTR0269</t>
  </si>
  <si>
    <t>MTR0115</t>
  </si>
  <si>
    <t>MTR0189</t>
  </si>
  <si>
    <t>MTR0022</t>
  </si>
  <si>
    <t>MTR0200</t>
  </si>
  <si>
    <t>MTR0055</t>
  </si>
  <si>
    <t>MTR0008</t>
  </si>
  <si>
    <t>MTR0054</t>
  </si>
  <si>
    <t>MTR0140</t>
  </si>
  <si>
    <t>MTR0032</t>
  </si>
  <si>
    <t>MTR0266</t>
  </si>
  <si>
    <t>MTR0249</t>
  </si>
  <si>
    <t>MTR0093</t>
  </si>
  <si>
    <t>MTR0012</t>
  </si>
  <si>
    <t>MTR0183</t>
  </si>
  <si>
    <t>MTR0028</t>
  </si>
  <si>
    <t>MTR0205</t>
  </si>
  <si>
    <t>MTR0149</t>
  </si>
  <si>
    <t>MTR0182</t>
  </si>
  <si>
    <t>MTR0063</t>
  </si>
  <si>
    <t>MTR0078</t>
  </si>
  <si>
    <t>MTR0083</t>
  </si>
  <si>
    <t>MTR0082</t>
  </si>
  <si>
    <t>MTR0292</t>
  </si>
  <si>
    <t>hargeisa</t>
  </si>
  <si>
    <t>MTR0186</t>
  </si>
  <si>
    <t>MTR0284</t>
  </si>
  <si>
    <t>MTR0047</t>
  </si>
  <si>
    <t>MTR0225</t>
  </si>
  <si>
    <t>MTR0194</t>
  </si>
  <si>
    <t>MTR0051</t>
  </si>
  <si>
    <t>MTR0059</t>
  </si>
  <si>
    <t>MTR0118</t>
  </si>
  <si>
    <t>MTR0068</t>
  </si>
  <si>
    <t>MTR0057</t>
  </si>
  <si>
    <t>MTR0023</t>
  </si>
  <si>
    <t>MTR0234</t>
  </si>
  <si>
    <t>MTR0162</t>
  </si>
  <si>
    <t>MTR0107</t>
  </si>
  <si>
    <t>MTR0031</t>
  </si>
  <si>
    <t>MTR0134</t>
  </si>
  <si>
    <t>MTR0110</t>
  </si>
  <si>
    <t>MTR0187</t>
  </si>
  <si>
    <t>MTR0241</t>
  </si>
  <si>
    <t>MTR0192</t>
  </si>
  <si>
    <t>MTR0282</t>
  </si>
  <si>
    <t>MTR0102</t>
  </si>
  <si>
    <t>MTR0086</t>
  </si>
  <si>
    <t>MTR0243</t>
  </si>
  <si>
    <t>MTR0094</t>
  </si>
  <si>
    <t>MTR0233</t>
  </si>
  <si>
    <t>MTR0171</t>
  </si>
  <si>
    <t>MTR0248</t>
  </si>
  <si>
    <t>MTR0160</t>
  </si>
  <si>
    <t>MTR0232</t>
  </si>
  <si>
    <t>MTR0257</t>
  </si>
  <si>
    <t>MTR0067</t>
  </si>
  <si>
    <t>MTR0037</t>
  </si>
  <si>
    <t>MTR0283</t>
  </si>
  <si>
    <t>MTR0164</t>
  </si>
  <si>
    <t>MTR0004</t>
  </si>
  <si>
    <t>MTR0220</t>
  </si>
  <si>
    <t>MTR0045</t>
  </si>
  <si>
    <t>MTR0147</t>
  </si>
  <si>
    <t>MTR0048</t>
  </si>
  <si>
    <t>MTR0191</t>
  </si>
  <si>
    <t>MTR0155</t>
  </si>
  <si>
    <t>MTR0237</t>
  </si>
  <si>
    <t>MTR0017</t>
  </si>
  <si>
    <t>MTR0161</t>
  </si>
  <si>
    <t>MTR0085</t>
  </si>
  <si>
    <t>Row Labels</t>
  </si>
  <si>
    <t>Grand Total</t>
  </si>
  <si>
    <t>Sum of Units_kWh</t>
  </si>
  <si>
    <t>MTR0288</t>
  </si>
  <si>
    <t>MTR0293</t>
  </si>
  <si>
    <t>MTR0294</t>
  </si>
  <si>
    <t>MTR0295</t>
  </si>
  <si>
    <t>MTR0296</t>
  </si>
  <si>
    <t>MTR0297</t>
  </si>
  <si>
    <t>MTR0298</t>
  </si>
  <si>
    <t>MTR0299</t>
  </si>
  <si>
    <t>MTR0300</t>
  </si>
  <si>
    <t>Count of Customer_Type</t>
  </si>
  <si>
    <t>MTR0009</t>
  </si>
  <si>
    <t>MTR0020</t>
  </si>
  <si>
    <t>MTR0046</t>
  </si>
  <si>
    <t>MTR0065</t>
  </si>
  <si>
    <t>MTR0100</t>
  </si>
  <si>
    <t>MTR0133</t>
  </si>
  <si>
    <t>MTR0148</t>
  </si>
  <si>
    <t>MTR0203</t>
  </si>
  <si>
    <t>MTR0211</t>
  </si>
  <si>
    <t>MTR0222</t>
  </si>
  <si>
    <t>MTR0224</t>
  </si>
  <si>
    <t>MTR0256</t>
  </si>
  <si>
    <t>MTR0262</t>
  </si>
  <si>
    <t>MTR0276</t>
  </si>
  <si>
    <t>Total Revenue</t>
  </si>
  <si>
    <t>Sum of Total Revenue</t>
  </si>
  <si>
    <t>Count of Meter_ID</t>
  </si>
  <si>
    <t>Jan</t>
  </si>
  <si>
    <t>Feb</t>
  </si>
  <si>
    <t>Mar</t>
  </si>
  <si>
    <t>Apr</t>
  </si>
  <si>
    <t>May</t>
  </si>
  <si>
    <t>Jun</t>
  </si>
  <si>
    <t>Jul</t>
  </si>
  <si>
    <t>Aug</t>
  </si>
  <si>
    <t>Sep</t>
  </si>
  <si>
    <t>Oct</t>
  </si>
  <si>
    <t>Nov</t>
  </si>
  <si>
    <t>Dec</t>
  </si>
  <si>
    <t>Total Consumption (kWh)</t>
  </si>
  <si>
    <t>SLICERS</t>
  </si>
  <si>
    <t>Average Consumption</t>
  </si>
  <si>
    <t>Number of Customers / Meters</t>
  </si>
  <si>
    <t>Paid Customers</t>
  </si>
  <si>
    <t>Payment Rate %</t>
  </si>
  <si>
    <t>Average Revenue per Customer</t>
  </si>
  <si>
    <t>Pending Customers</t>
  </si>
  <si>
    <t>Consumption By Area Chart</t>
  </si>
  <si>
    <t>Customer Type</t>
  </si>
  <si>
    <t>Reading_Date Chart</t>
  </si>
  <si>
    <t>Customer Type Chart</t>
  </si>
  <si>
    <t>Payment Status Chart</t>
  </si>
  <si>
    <t>Revenue By Area Chart</t>
  </si>
  <si>
    <t>DASHBOARD ELECTRICITY CONSUMPTION</t>
  </si>
  <si>
    <t>Analysis</t>
  </si>
  <si>
    <t>DATA BLANKS</t>
  </si>
  <si>
    <t>CUSTOMER TYPE</t>
  </si>
  <si>
    <t>Meter Id</t>
  </si>
  <si>
    <t>Reading Date</t>
  </si>
  <si>
    <t>Units_KWh</t>
  </si>
  <si>
    <t>Payment status</t>
  </si>
  <si>
    <t xml:space="preserve">Total revenue </t>
  </si>
  <si>
    <t xml:space="preserve">Area </t>
  </si>
  <si>
    <t>blanks</t>
  </si>
  <si>
    <t>TOTAL</t>
  </si>
  <si>
    <t>blank</t>
  </si>
  <si>
    <t>area</t>
  </si>
  <si>
    <t>Area Units_kWh</t>
  </si>
  <si>
    <t>total</t>
  </si>
  <si>
    <t xml:space="preserve"> Area Revenue</t>
  </si>
  <si>
    <t>non_area</t>
  </si>
  <si>
    <t>non_customer</t>
  </si>
  <si>
    <t>non_pay</t>
  </si>
  <si>
    <t>(blank)</t>
  </si>
  <si>
    <t>Average of Units_kWh</t>
  </si>
  <si>
    <t>Average of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</si>
</sst>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yyyy\-mm\-dd"/>
    <numFmt numFmtId="165" formatCode="\$#,##0.00"/>
    <numFmt numFmtId="166" formatCode="0.0"/>
    <numFmt numFmtId="167" formatCode="&quot;$&quot;#,##0.00"/>
  </numFmts>
  <fonts count="11">
    <font>
      <sz val="11"/>
      <name val="Carlito"/>
    </font>
    <font>
      <b/>
      <sz val="11"/>
      <color rgb="FFFFFFFF"/>
      <name val="Carlito"/>
    </font>
    <font>
      <b/>
      <sz val="11"/>
      <name val="Carlito"/>
    </font>
    <font>
      <sz val="11"/>
      <name val="Carlito"/>
    </font>
    <font>
      <sz val="8"/>
      <name val="Carlito"/>
    </font>
    <font>
      <sz val="22"/>
      <name val="Carlito"/>
    </font>
    <font>
      <sz val="11"/>
      <color theme="0"/>
      <name val="Carlito"/>
    </font>
    <font>
      <sz val="36"/>
      <color theme="0"/>
      <name val="Carlito"/>
    </font>
    <font>
      <b/>
      <i/>
      <sz val="20"/>
      <color theme="0"/>
      <name val="Carlito"/>
    </font>
    <font>
      <sz val="18"/>
      <name val="Carlito"/>
    </font>
    <font>
      <sz val="28"/>
      <color theme="9" tint="-0.249977111117893"/>
      <name val="Carlito"/>
    </font>
  </fonts>
  <fills count="10">
    <fill>
      <patternFill patternType="none"/>
    </fill>
    <fill>
      <patternFill patternType="gray125"/>
    </fill>
    <fill>
      <patternFill patternType="solid">
        <fgColor rgb="FF1F4E78"/>
      </patternFill>
    </fill>
    <fill>
      <patternFill patternType="solid">
        <fgColor rgb="FFD9EAF7"/>
      </patternFill>
    </fill>
    <fill>
      <patternFill patternType="solid">
        <fgColor theme="9" tint="0.59999389629810485"/>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9"/>
        <bgColor indexed="64"/>
      </patternFill>
    </fill>
    <fill>
      <patternFill patternType="solid">
        <fgColor rgb="FFD9EAF7"/>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3" fillId="0" borderId="0" applyFont="0" applyFill="0" applyBorder="0" applyAlignment="0" applyProtection="0"/>
  </cellStyleXfs>
  <cellXfs count="3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2" fillId="3" borderId="0" xfId="0" applyFont="1" applyFill="1" applyAlignment="1">
      <alignment horizontal="center" vertical="center"/>
    </xf>
    <xf numFmtId="164" fontId="0" fillId="0" borderId="0" xfId="0" applyNumberFormat="1"/>
    <xf numFmtId="165" fontId="0" fillId="0" borderId="0" xfId="0" applyNumberFormat="1"/>
    <xf numFmtId="0" fontId="2" fillId="0" borderId="0" xfId="0" applyFont="1" applyAlignment="1">
      <alignment wrapText="1"/>
    </xf>
    <xf numFmtId="0"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0" xfId="0" applyNumberFormat="1" applyAlignment="1">
      <alignment horizontal="left"/>
    </xf>
    <xf numFmtId="0" fontId="0" fillId="5" borderId="0" xfId="0" applyFill="1" applyAlignment="1">
      <alignment horizontal="center"/>
    </xf>
    <xf numFmtId="0" fontId="6" fillId="5" borderId="0" xfId="0" applyFont="1" applyFill="1" applyAlignment="1">
      <alignment horizontal="center"/>
    </xf>
    <xf numFmtId="0" fontId="6" fillId="6" borderId="0" xfId="0" applyFont="1" applyFill="1" applyAlignment="1">
      <alignment horizontal="center"/>
    </xf>
    <xf numFmtId="0" fontId="0" fillId="0" borderId="0" xfId="0" applyFill="1" applyAlignment="1"/>
    <xf numFmtId="0" fontId="5" fillId="0" borderId="0" xfId="0" applyFont="1" applyFill="1" applyAlignment="1"/>
    <xf numFmtId="0" fontId="6" fillId="7" borderId="0" xfId="0" applyFont="1" applyFill="1" applyAlignment="1">
      <alignment horizontal="center"/>
    </xf>
    <xf numFmtId="0" fontId="7" fillId="4" borderId="0" xfId="0" applyFont="1" applyFill="1" applyAlignment="1">
      <alignment horizontal="center"/>
    </xf>
    <xf numFmtId="2" fontId="8" fillId="5" borderId="0" xfId="0" applyNumberFormat="1" applyFont="1" applyFill="1" applyAlignment="1">
      <alignment horizontal="center"/>
    </xf>
    <xf numFmtId="0" fontId="8" fillId="5" borderId="0" xfId="0" applyFont="1" applyFill="1" applyAlignment="1">
      <alignment horizontal="center"/>
    </xf>
    <xf numFmtId="10" fontId="8" fillId="5" borderId="0" xfId="0" applyNumberFormat="1" applyFont="1" applyFill="1" applyAlignment="1">
      <alignment horizontal="center"/>
    </xf>
    <xf numFmtId="0" fontId="10" fillId="5" borderId="0" xfId="0" applyFont="1" applyFill="1" applyAlignment="1">
      <alignment horizontal="center"/>
    </xf>
    <xf numFmtId="0" fontId="9" fillId="5" borderId="0" xfId="0" applyFont="1" applyFill="1" applyAlignment="1">
      <alignment horizontal="center"/>
    </xf>
    <xf numFmtId="0" fontId="0" fillId="8" borderId="0" xfId="0" applyFill="1" applyAlignment="1">
      <alignment horizontal="center"/>
    </xf>
    <xf numFmtId="166" fontId="8" fillId="5" borderId="0" xfId="0" applyNumberFormat="1" applyFont="1" applyFill="1" applyAlignment="1">
      <alignment horizontal="center"/>
    </xf>
    <xf numFmtId="0" fontId="2" fillId="9" borderId="0" xfId="0" applyFont="1" applyFill="1" applyAlignment="1">
      <alignment horizontal="center" vertical="center"/>
    </xf>
    <xf numFmtId="44" fontId="0" fillId="0" borderId="0" xfId="1" applyFont="1"/>
    <xf numFmtId="44" fontId="0" fillId="0" borderId="0" xfId="0" applyNumberFormat="1"/>
  </cellXfs>
  <cellStyles count="2">
    <cellStyle name="Currency" xfId="1" builtinId="4"/>
    <cellStyle name="Normal" xfId="0" builtinId="0"/>
  </cellStyles>
  <dxfs count="3">
    <dxf>
      <font>
        <b/>
        <i val="0"/>
        <strike val="0"/>
        <condense val="0"/>
        <extend val="0"/>
        <outline val="0"/>
        <shadow val="0"/>
        <u val="none"/>
        <vertAlign val="baseline"/>
        <sz val="11"/>
        <color auto="1"/>
        <name val="Carlito"/>
        <scheme val="none"/>
      </font>
      <fill>
        <patternFill patternType="solid">
          <fgColor indexed="64"/>
          <bgColor rgb="FFD9EAF7"/>
        </patternFill>
      </fill>
      <alignment horizontal="center" vertical="center" textRotation="0" wrapText="0" indent="0" justifyLastLine="0" shrinkToFit="0" readingOrder="0"/>
    </dxf>
    <dxf>
      <numFmt numFmtId="165" formatCode="\$#,##0.00"/>
    </dxf>
    <dxf>
      <numFmt numFmtId="164" formatCode="yyyy\-mm\-dd"/>
    </dxf>
  </dxfs>
  <tableStyles count="0" defaultTableStyle="TableStyleMedium2" defaultPivotStyle="PivotStyleLight16"/>
  <colors>
    <mruColors>
      <color rgb="FF930D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consumption1.xlsx]PivotAreaByRevenue!PivotTable2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PivotAreaByRevenue!$B$3</c:f>
              <c:strCache>
                <c:ptCount val="1"/>
                <c:pt idx="0">
                  <c:v>Sum of Units_kWh</c:v>
                </c:pt>
              </c:strCache>
            </c:strRef>
          </c:tx>
          <c:spPr>
            <a:solidFill>
              <a:schemeClr val="accent1"/>
            </a:solidFill>
            <a:ln>
              <a:noFill/>
            </a:ln>
            <a:effectLst/>
          </c:spPr>
          <c:invertIfNegative val="0"/>
          <c:cat>
            <c:strRef>
              <c:f>PivotAreaByRevenue!$A$4:$A$10</c:f>
              <c:strCache>
                <c:ptCount val="6"/>
                <c:pt idx="0">
                  <c:v>Baidoa</c:v>
                </c:pt>
                <c:pt idx="1">
                  <c:v>Bosaso</c:v>
                </c:pt>
                <c:pt idx="2">
                  <c:v>Garowe</c:v>
                </c:pt>
                <c:pt idx="3">
                  <c:v>Hargeisa</c:v>
                </c:pt>
                <c:pt idx="4">
                  <c:v>Kismayo</c:v>
                </c:pt>
                <c:pt idx="5">
                  <c:v>Mogadishu</c:v>
                </c:pt>
              </c:strCache>
            </c:strRef>
          </c:cat>
          <c:val>
            <c:numRef>
              <c:f>PivotAreaByRevenue!$B$4:$B$10</c:f>
              <c:numCache>
                <c:formatCode>General</c:formatCode>
                <c:ptCount val="6"/>
                <c:pt idx="0">
                  <c:v>30969.399999999998</c:v>
                </c:pt>
                <c:pt idx="1">
                  <c:v>29745.599999999999</c:v>
                </c:pt>
                <c:pt idx="2">
                  <c:v>39842.1</c:v>
                </c:pt>
                <c:pt idx="3">
                  <c:v>51334.700000000004</c:v>
                </c:pt>
                <c:pt idx="4">
                  <c:v>27135.000000000004</c:v>
                </c:pt>
                <c:pt idx="5">
                  <c:v>114749.90000000001</c:v>
                </c:pt>
              </c:numCache>
            </c:numRef>
          </c:val>
          <c:extLst>
            <c:ext xmlns:c16="http://schemas.microsoft.com/office/drawing/2014/chart" uri="{C3380CC4-5D6E-409C-BE32-E72D297353CC}">
              <c16:uniqueId val="{00000000-8132-4D0F-95AF-1FF50405EBF8}"/>
            </c:ext>
          </c:extLst>
        </c:ser>
        <c:ser>
          <c:idx val="1"/>
          <c:order val="1"/>
          <c:tx>
            <c:strRef>
              <c:f>PivotAreaByRevenue!$C$3</c:f>
              <c:strCache>
                <c:ptCount val="1"/>
                <c:pt idx="0">
                  <c:v>Sum of Total Revenue</c:v>
                </c:pt>
              </c:strCache>
            </c:strRef>
          </c:tx>
          <c:spPr>
            <a:solidFill>
              <a:schemeClr val="accent2"/>
            </a:solidFill>
            <a:ln>
              <a:noFill/>
            </a:ln>
            <a:effectLst/>
          </c:spPr>
          <c:invertIfNegative val="0"/>
          <c:cat>
            <c:strRef>
              <c:f>PivotAreaByRevenue!$A$4:$A$10</c:f>
              <c:strCache>
                <c:ptCount val="6"/>
                <c:pt idx="0">
                  <c:v>Baidoa</c:v>
                </c:pt>
                <c:pt idx="1">
                  <c:v>Bosaso</c:v>
                </c:pt>
                <c:pt idx="2">
                  <c:v>Garowe</c:v>
                </c:pt>
                <c:pt idx="3">
                  <c:v>Hargeisa</c:v>
                </c:pt>
                <c:pt idx="4">
                  <c:v>Kismayo</c:v>
                </c:pt>
                <c:pt idx="5">
                  <c:v>Mogadishu</c:v>
                </c:pt>
              </c:strCache>
            </c:strRef>
          </c:cat>
          <c:val>
            <c:numRef>
              <c:f>PivotAreaByRevenue!$C$4:$C$10</c:f>
              <c:numCache>
                <c:formatCode>General</c:formatCode>
                <c:ptCount val="6"/>
                <c:pt idx="0">
                  <c:v>6169.2560000000021</c:v>
                </c:pt>
                <c:pt idx="1">
                  <c:v>6648.6209999999974</c:v>
                </c:pt>
                <c:pt idx="2">
                  <c:v>9052.0909999999985</c:v>
                </c:pt>
                <c:pt idx="3">
                  <c:v>11401.1479</c:v>
                </c:pt>
                <c:pt idx="4">
                  <c:v>5479.2020000000011</c:v>
                </c:pt>
                <c:pt idx="5">
                  <c:v>27713.966000000019</c:v>
                </c:pt>
              </c:numCache>
            </c:numRef>
          </c:val>
          <c:extLst>
            <c:ext xmlns:c16="http://schemas.microsoft.com/office/drawing/2014/chart" uri="{C3380CC4-5D6E-409C-BE32-E72D297353CC}">
              <c16:uniqueId val="{00000001-8132-4D0F-95AF-1FF50405EBF8}"/>
            </c:ext>
          </c:extLst>
        </c:ser>
        <c:dLbls>
          <c:showLegendKey val="0"/>
          <c:showVal val="0"/>
          <c:showCatName val="0"/>
          <c:showSerName val="0"/>
          <c:showPercent val="0"/>
          <c:showBubbleSize val="0"/>
        </c:dLbls>
        <c:gapWidth val="150"/>
        <c:overlap val="100"/>
        <c:axId val="282199024"/>
        <c:axId val="282215664"/>
      </c:barChart>
      <c:catAx>
        <c:axId val="282199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215664"/>
        <c:crosses val="autoZero"/>
        <c:auto val="1"/>
        <c:lblAlgn val="ctr"/>
        <c:lblOffset val="100"/>
        <c:noMultiLvlLbl val="0"/>
      </c:catAx>
      <c:valAx>
        <c:axId val="282215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19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consumption1.xlsx]PovitCustomerType!PivotTable3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PovitCustomerType!$B$3</c:f>
              <c:strCache>
                <c:ptCount val="1"/>
                <c:pt idx="0">
                  <c:v>Sum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PovitCustomerType!$A$4:$A$7</c:f>
              <c:strCache>
                <c:ptCount val="3"/>
                <c:pt idx="0">
                  <c:v>Commercial</c:v>
                </c:pt>
                <c:pt idx="1">
                  <c:v>Industrial</c:v>
                </c:pt>
                <c:pt idx="2">
                  <c:v>Residential</c:v>
                </c:pt>
              </c:strCache>
            </c:strRef>
          </c:cat>
          <c:val>
            <c:numRef>
              <c:f>PovitCustomerType!$B$4:$B$7</c:f>
              <c:numCache>
                <c:formatCode>General</c:formatCode>
                <c:ptCount val="3"/>
                <c:pt idx="0">
                  <c:v>20852.167000000005</c:v>
                </c:pt>
                <c:pt idx="1">
                  <c:v>23465.786000000004</c:v>
                </c:pt>
                <c:pt idx="2">
                  <c:v>22146.330900000012</c:v>
                </c:pt>
              </c:numCache>
            </c:numRef>
          </c:val>
          <c:extLst>
            <c:ext xmlns:c16="http://schemas.microsoft.com/office/drawing/2014/chart" uri="{C3380CC4-5D6E-409C-BE32-E72D297353CC}">
              <c16:uniqueId val="{00000000-F94C-4918-A5A7-CE10259C2981}"/>
            </c:ext>
          </c:extLst>
        </c:ser>
        <c:ser>
          <c:idx val="1"/>
          <c:order val="1"/>
          <c:tx>
            <c:strRef>
              <c:f>PovitCustomerType!$C$3</c:f>
              <c:strCache>
                <c:ptCount val="1"/>
                <c:pt idx="0">
                  <c:v>Sum of Units_kWh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PovitCustomerType!$A$4:$A$7</c:f>
              <c:strCache>
                <c:ptCount val="3"/>
                <c:pt idx="0">
                  <c:v>Commercial</c:v>
                </c:pt>
                <c:pt idx="1">
                  <c:v>Industrial</c:v>
                </c:pt>
                <c:pt idx="2">
                  <c:v>Residential</c:v>
                </c:pt>
              </c:strCache>
            </c:strRef>
          </c:cat>
          <c:val>
            <c:numRef>
              <c:f>PovitCustomerType!$C$4:$C$7</c:f>
              <c:numCache>
                <c:formatCode>General</c:formatCode>
                <c:ptCount val="3"/>
                <c:pt idx="0">
                  <c:v>97104.299999999988</c:v>
                </c:pt>
                <c:pt idx="1">
                  <c:v>93113.7</c:v>
                </c:pt>
                <c:pt idx="2">
                  <c:v>103558.69999999995</c:v>
                </c:pt>
              </c:numCache>
            </c:numRef>
          </c:val>
          <c:extLst>
            <c:ext xmlns:c16="http://schemas.microsoft.com/office/drawing/2014/chart" uri="{C3380CC4-5D6E-409C-BE32-E72D297353CC}">
              <c16:uniqueId val="{00000001-F94C-4918-A5A7-CE10259C29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consumption1.xlsx]PovitPayment!PivotTable4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PovitPayment!$B$3</c:f>
              <c:strCache>
                <c:ptCount val="1"/>
                <c:pt idx="0">
                  <c:v>Sum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PovitPayment!$A$4:$A$7</c:f>
              <c:strCache>
                <c:ptCount val="3"/>
                <c:pt idx="0">
                  <c:v>Overdue</c:v>
                </c:pt>
                <c:pt idx="1">
                  <c:v>Paid</c:v>
                </c:pt>
                <c:pt idx="2">
                  <c:v>Pending</c:v>
                </c:pt>
              </c:strCache>
            </c:strRef>
          </c:cat>
          <c:val>
            <c:numRef>
              <c:f>PovitPayment!$B$4:$B$7</c:f>
              <c:numCache>
                <c:formatCode>General</c:formatCode>
                <c:ptCount val="3"/>
                <c:pt idx="0">
                  <c:v>9148.0199999999968</c:v>
                </c:pt>
                <c:pt idx="1">
                  <c:v>44746.026900000004</c:v>
                </c:pt>
                <c:pt idx="2">
                  <c:v>12570.236999999994</c:v>
                </c:pt>
              </c:numCache>
            </c:numRef>
          </c:val>
          <c:extLst>
            <c:ext xmlns:c16="http://schemas.microsoft.com/office/drawing/2014/chart" uri="{C3380CC4-5D6E-409C-BE32-E72D297353CC}">
              <c16:uniqueId val="{00000000-DE0C-4C62-AD76-E27C99B3C453}"/>
            </c:ext>
          </c:extLst>
        </c:ser>
        <c:ser>
          <c:idx val="1"/>
          <c:order val="1"/>
          <c:tx>
            <c:strRef>
              <c:f>PovitPayment!$C$3</c:f>
              <c:strCache>
                <c:ptCount val="1"/>
                <c:pt idx="0">
                  <c:v>Count of Meter_ID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PovitPayment!$A$4:$A$7</c:f>
              <c:strCache>
                <c:ptCount val="3"/>
                <c:pt idx="0">
                  <c:v>Overdue</c:v>
                </c:pt>
                <c:pt idx="1">
                  <c:v>Paid</c:v>
                </c:pt>
                <c:pt idx="2">
                  <c:v>Pending</c:v>
                </c:pt>
              </c:strCache>
            </c:strRef>
          </c:cat>
          <c:val>
            <c:numRef>
              <c:f>PovitPayment!$C$4:$C$7</c:f>
              <c:numCache>
                <c:formatCode>General</c:formatCode>
                <c:ptCount val="3"/>
                <c:pt idx="0">
                  <c:v>36</c:v>
                </c:pt>
                <c:pt idx="1">
                  <c:v>192</c:v>
                </c:pt>
                <c:pt idx="2">
                  <c:v>72</c:v>
                </c:pt>
              </c:numCache>
            </c:numRef>
          </c:val>
          <c:extLst>
            <c:ext xmlns:c16="http://schemas.microsoft.com/office/drawing/2014/chart" uri="{C3380CC4-5D6E-409C-BE32-E72D297353CC}">
              <c16:uniqueId val="{00000001-DE0C-4C62-AD76-E27C99B3C45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consumption1.xlsx]PivotReading_date!PivotTable5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Reading_Date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PivotReading_date!$B$3</c:f>
              <c:strCache>
                <c:ptCount val="1"/>
                <c:pt idx="0">
                  <c:v>Total</c:v>
                </c:pt>
              </c:strCache>
            </c:strRef>
          </c:tx>
          <c:spPr>
            <a:ln w="28575" cap="rnd">
              <a:solidFill>
                <a:schemeClr val="accent1"/>
              </a:solidFill>
              <a:round/>
            </a:ln>
            <a:effectLst/>
          </c:spPr>
          <c:marker>
            <c:symbol val="none"/>
          </c:marker>
          <c:cat>
            <c:strRef>
              <c:f>PivotReading_date!$A$4:$A$16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PivotReading_date!$B$4:$B$16</c:f>
              <c:numCache>
                <c:formatCode>General</c:formatCode>
                <c:ptCount val="12"/>
                <c:pt idx="0">
                  <c:v>45406.999999999993</c:v>
                </c:pt>
                <c:pt idx="1">
                  <c:v>37928.899999999994</c:v>
                </c:pt>
                <c:pt idx="2">
                  <c:v>37535.599999999991</c:v>
                </c:pt>
                <c:pt idx="3">
                  <c:v>24437.800000000007</c:v>
                </c:pt>
                <c:pt idx="4">
                  <c:v>10392.599999999999</c:v>
                </c:pt>
                <c:pt idx="5">
                  <c:v>31732.299999999996</c:v>
                </c:pt>
                <c:pt idx="6">
                  <c:v>34884.6</c:v>
                </c:pt>
                <c:pt idx="7">
                  <c:v>10526.600000000002</c:v>
                </c:pt>
                <c:pt idx="8">
                  <c:v>9953.5</c:v>
                </c:pt>
                <c:pt idx="9">
                  <c:v>17197.100000000002</c:v>
                </c:pt>
                <c:pt idx="10">
                  <c:v>17302.8</c:v>
                </c:pt>
                <c:pt idx="11">
                  <c:v>16477.900000000001</c:v>
                </c:pt>
              </c:numCache>
            </c:numRef>
          </c:val>
          <c:smooth val="0"/>
          <c:extLst>
            <c:ext xmlns:c16="http://schemas.microsoft.com/office/drawing/2014/chart" uri="{C3380CC4-5D6E-409C-BE32-E72D297353CC}">
              <c16:uniqueId val="{00000000-2691-46EC-BDA5-96CFF1028AAB}"/>
            </c:ext>
          </c:extLst>
        </c:ser>
        <c:dLbls>
          <c:showLegendKey val="0"/>
          <c:showVal val="0"/>
          <c:showCatName val="0"/>
          <c:showSerName val="0"/>
          <c:showPercent val="0"/>
          <c:showBubbleSize val="0"/>
        </c:dLbls>
        <c:smooth val="0"/>
        <c:axId val="1984992432"/>
        <c:axId val="1984991600"/>
      </c:lineChart>
      <c:catAx>
        <c:axId val="19849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91600"/>
        <c:crosses val="autoZero"/>
        <c:auto val="1"/>
        <c:lblAlgn val="ctr"/>
        <c:lblOffset val="100"/>
        <c:noMultiLvlLbl val="0"/>
      </c:catAx>
      <c:valAx>
        <c:axId val="19849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9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consumption1.xlsx]PovitConsumptionbyArea!PivotTable6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Consumption</a:t>
            </a:r>
            <a:r>
              <a:rPr lang="en-US" baseline="0"/>
              <a:t> By Area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PovitConsumptionbyArea!$B$3</c:f>
              <c:strCache>
                <c:ptCount val="1"/>
                <c:pt idx="0">
                  <c:v>Total</c:v>
                </c:pt>
              </c:strCache>
            </c:strRef>
          </c:tx>
          <c:spPr>
            <a:solidFill>
              <a:schemeClr val="accent1"/>
            </a:solidFill>
            <a:ln>
              <a:noFill/>
            </a:ln>
            <a:effectLst/>
          </c:spPr>
          <c:invertIfNegative val="0"/>
          <c:cat>
            <c:strRef>
              <c:f>PovitConsumptionbyArea!$A$4:$A$10</c:f>
              <c:strCache>
                <c:ptCount val="6"/>
                <c:pt idx="0">
                  <c:v>Baidoa</c:v>
                </c:pt>
                <c:pt idx="1">
                  <c:v>Bosaso</c:v>
                </c:pt>
                <c:pt idx="2">
                  <c:v>Garowe</c:v>
                </c:pt>
                <c:pt idx="3">
                  <c:v>Hargeisa</c:v>
                </c:pt>
                <c:pt idx="4">
                  <c:v>Kismayo</c:v>
                </c:pt>
                <c:pt idx="5">
                  <c:v>Mogadishu</c:v>
                </c:pt>
              </c:strCache>
            </c:strRef>
          </c:cat>
          <c:val>
            <c:numRef>
              <c:f>PovitConsumptionbyArea!$B$4:$B$10</c:f>
              <c:numCache>
                <c:formatCode>General</c:formatCode>
                <c:ptCount val="6"/>
                <c:pt idx="0">
                  <c:v>30969.399999999998</c:v>
                </c:pt>
                <c:pt idx="1">
                  <c:v>29745.599999999999</c:v>
                </c:pt>
                <c:pt idx="2">
                  <c:v>39842.1</c:v>
                </c:pt>
                <c:pt idx="3">
                  <c:v>51334.700000000004</c:v>
                </c:pt>
                <c:pt idx="4">
                  <c:v>27135.000000000004</c:v>
                </c:pt>
                <c:pt idx="5">
                  <c:v>114749.90000000001</c:v>
                </c:pt>
              </c:numCache>
            </c:numRef>
          </c:val>
          <c:extLst>
            <c:ext xmlns:c16="http://schemas.microsoft.com/office/drawing/2014/chart" uri="{C3380CC4-5D6E-409C-BE32-E72D297353CC}">
              <c16:uniqueId val="{00000000-89A9-4D74-A059-E06787897E0B}"/>
            </c:ext>
          </c:extLst>
        </c:ser>
        <c:dLbls>
          <c:showLegendKey val="0"/>
          <c:showVal val="0"/>
          <c:showCatName val="0"/>
          <c:showSerName val="0"/>
          <c:showPercent val="0"/>
          <c:showBubbleSize val="0"/>
        </c:dLbls>
        <c:gapWidth val="219"/>
        <c:overlap val="-27"/>
        <c:axId val="2720688"/>
        <c:axId val="2723184"/>
      </c:barChart>
      <c:catAx>
        <c:axId val="272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184"/>
        <c:crosses val="autoZero"/>
        <c:auto val="1"/>
        <c:lblAlgn val="ctr"/>
        <c:lblOffset val="100"/>
        <c:noMultiLvlLbl val="0"/>
      </c:catAx>
      <c:valAx>
        <c:axId val="272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consumption1.xlsx]PivotReading_date!PivotTable5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Reading_Date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PivotReading_date!$B$3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PivotReading_date!$A$4:$A$16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PivotReading_date!$B$4:$B$16</c:f>
              <c:numCache>
                <c:formatCode>General</c:formatCode>
                <c:ptCount val="12"/>
                <c:pt idx="0">
                  <c:v>45406.999999999993</c:v>
                </c:pt>
                <c:pt idx="1">
                  <c:v>37928.899999999994</c:v>
                </c:pt>
                <c:pt idx="2">
                  <c:v>37535.599999999991</c:v>
                </c:pt>
                <c:pt idx="3">
                  <c:v>24437.800000000007</c:v>
                </c:pt>
                <c:pt idx="4">
                  <c:v>10392.599999999999</c:v>
                </c:pt>
                <c:pt idx="5">
                  <c:v>31732.299999999996</c:v>
                </c:pt>
                <c:pt idx="6">
                  <c:v>34884.6</c:v>
                </c:pt>
                <c:pt idx="7">
                  <c:v>10526.600000000002</c:v>
                </c:pt>
                <c:pt idx="8">
                  <c:v>9953.5</c:v>
                </c:pt>
                <c:pt idx="9">
                  <c:v>17197.100000000002</c:v>
                </c:pt>
                <c:pt idx="10">
                  <c:v>17302.8</c:v>
                </c:pt>
                <c:pt idx="11">
                  <c:v>16477.900000000001</c:v>
                </c:pt>
              </c:numCache>
            </c:numRef>
          </c:val>
          <c:smooth val="0"/>
          <c:extLst>
            <c:ext xmlns:c16="http://schemas.microsoft.com/office/drawing/2014/chart" uri="{C3380CC4-5D6E-409C-BE32-E72D297353CC}">
              <c16:uniqueId val="{00000000-33B2-44BB-A113-1C9DC3CCAB3A}"/>
            </c:ext>
          </c:extLst>
        </c:ser>
        <c:dLbls>
          <c:dLblPos val="t"/>
          <c:showLegendKey val="0"/>
          <c:showVal val="1"/>
          <c:showCatName val="0"/>
          <c:showSerName val="0"/>
          <c:showPercent val="0"/>
          <c:showBubbleSize val="0"/>
        </c:dLbls>
        <c:smooth val="0"/>
        <c:axId val="1984992432"/>
        <c:axId val="1984991600"/>
      </c:lineChart>
      <c:catAx>
        <c:axId val="198499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91600"/>
        <c:crosses val="autoZero"/>
        <c:auto val="1"/>
        <c:lblAlgn val="ctr"/>
        <c:lblOffset val="100"/>
        <c:noMultiLvlLbl val="0"/>
      </c:catAx>
      <c:valAx>
        <c:axId val="1984991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99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pieChart>
        <c:varyColors val="1"/>
        <c:ser>
          <c:idx val="0"/>
          <c:order val="0"/>
          <c:tx>
            <c:strRef>
              <c:f>'pivot table'!$G$2</c:f>
              <c:strCache>
                <c:ptCount val="1"/>
                <c:pt idx="0">
                  <c:v>Sum of 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A-4B6B-82E1-27A72E685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A-4B6B-82E1-27A72E685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A-4B6B-82E1-27A72E685A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A-4B6B-82E1-27A72E685A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A-4B6B-82E1-27A72E685AD8}"/>
              </c:ext>
            </c:extLst>
          </c:dPt>
          <c:cat>
            <c:strRef>
              <c:f>'pivot table'!$F$3:$F$8</c:f>
              <c:strCache>
                <c:ptCount val="5"/>
                <c:pt idx="0">
                  <c:v>Commercial</c:v>
                </c:pt>
                <c:pt idx="1">
                  <c:v>Industrial</c:v>
                </c:pt>
                <c:pt idx="2">
                  <c:v>non_customer</c:v>
                </c:pt>
                <c:pt idx="3">
                  <c:v>Residential</c:v>
                </c:pt>
                <c:pt idx="4">
                  <c:v>(blank)</c:v>
                </c:pt>
              </c:strCache>
            </c:strRef>
          </c:cat>
          <c:val>
            <c:numRef>
              <c:f>'pivot table'!$G$3:$G$8</c:f>
              <c:numCache>
                <c:formatCode>General</c:formatCode>
                <c:ptCount val="5"/>
                <c:pt idx="0">
                  <c:v>19009.89320000001</c:v>
                </c:pt>
                <c:pt idx="1">
                  <c:v>23422.939300000002</c:v>
                </c:pt>
                <c:pt idx="2">
                  <c:v>5051.0897000000004</c:v>
                </c:pt>
                <c:pt idx="3">
                  <c:v>8169.656800000007</c:v>
                </c:pt>
              </c:numCache>
            </c:numRef>
          </c:val>
          <c:extLst>
            <c:ext xmlns:c16="http://schemas.microsoft.com/office/drawing/2014/chart" uri="{C3380CC4-5D6E-409C-BE32-E72D297353CC}">
              <c16:uniqueId val="{0000000A-B10A-4B6B-82E1-27A72E685AD8}"/>
            </c:ext>
          </c:extLst>
        </c:ser>
        <c:ser>
          <c:idx val="1"/>
          <c:order val="1"/>
          <c:tx>
            <c:strRef>
              <c:f>'pivot table'!$H$2</c:f>
              <c:strCache>
                <c:ptCount val="1"/>
                <c:pt idx="0">
                  <c:v>Sum of Units_kWh</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B10A-4B6B-82E1-27A72E685AD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B10A-4B6B-82E1-27A72E685AD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B10A-4B6B-82E1-27A72E685AD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B10A-4B6B-82E1-27A72E685AD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B10A-4B6B-82E1-27A72E685AD8}"/>
              </c:ext>
            </c:extLst>
          </c:dPt>
          <c:cat>
            <c:strRef>
              <c:f>'pivot table'!$F$3:$F$8</c:f>
              <c:strCache>
                <c:ptCount val="5"/>
                <c:pt idx="0">
                  <c:v>Commercial</c:v>
                </c:pt>
                <c:pt idx="1">
                  <c:v>Industrial</c:v>
                </c:pt>
                <c:pt idx="2">
                  <c:v>non_customer</c:v>
                </c:pt>
                <c:pt idx="3">
                  <c:v>Residential</c:v>
                </c:pt>
                <c:pt idx="4">
                  <c:v>(blank)</c:v>
                </c:pt>
              </c:strCache>
            </c:strRef>
          </c:cat>
          <c:val>
            <c:numRef>
              <c:f>'pivot table'!$H$3:$H$8</c:f>
              <c:numCache>
                <c:formatCode>General</c:formatCode>
                <c:ptCount val="5"/>
                <c:pt idx="0">
                  <c:v>96154.599999999991</c:v>
                </c:pt>
                <c:pt idx="1">
                  <c:v>92410.299999999988</c:v>
                </c:pt>
                <c:pt idx="2">
                  <c:v>21777</c:v>
                </c:pt>
                <c:pt idx="3">
                  <c:v>82099.799999999988</c:v>
                </c:pt>
              </c:numCache>
            </c:numRef>
          </c:val>
          <c:extLst>
            <c:ext xmlns:c16="http://schemas.microsoft.com/office/drawing/2014/chart" uri="{C3380CC4-5D6E-409C-BE32-E72D297353CC}">
              <c16:uniqueId val="{00000015-B10A-4B6B-82E1-27A72E685AD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4939596092155147"/>
          <c:w val="0.73578937007874012"/>
          <c:h val="0.41920530766987457"/>
        </c:manualLayout>
      </c:layout>
      <c:barChart>
        <c:barDir val="col"/>
        <c:grouping val="clustered"/>
        <c:varyColors val="0"/>
        <c:ser>
          <c:idx val="0"/>
          <c:order val="0"/>
          <c:tx>
            <c:strRef>
              <c:f>'pivot table'!$O$33</c:f>
              <c:strCache>
                <c:ptCount val="1"/>
                <c:pt idx="0">
                  <c:v>Total</c:v>
                </c:pt>
              </c:strCache>
            </c:strRef>
          </c:tx>
          <c:spPr>
            <a:solidFill>
              <a:schemeClr val="accent1"/>
            </a:solidFill>
            <a:ln>
              <a:noFill/>
            </a:ln>
            <a:effectLst/>
          </c:spPr>
          <c:invertIfNegative val="0"/>
          <c:cat>
            <c:strRef>
              <c:f>'pivot table'!$N$34:$N$42</c:f>
              <c:strCache>
                <c:ptCount val="8"/>
                <c:pt idx="0">
                  <c:v>Baidoa</c:v>
                </c:pt>
                <c:pt idx="1">
                  <c:v>Bosaso</c:v>
                </c:pt>
                <c:pt idx="2">
                  <c:v>Garowe</c:v>
                </c:pt>
                <c:pt idx="3">
                  <c:v>Hargeisa</c:v>
                </c:pt>
                <c:pt idx="4">
                  <c:v>Kismayo</c:v>
                </c:pt>
                <c:pt idx="5">
                  <c:v>Mogadishu</c:v>
                </c:pt>
                <c:pt idx="6">
                  <c:v>non_area</c:v>
                </c:pt>
                <c:pt idx="7">
                  <c:v>(blank)</c:v>
                </c:pt>
              </c:strCache>
            </c:strRef>
          </c:cat>
          <c:val>
            <c:numRef>
              <c:f>'pivot table'!$O$34:$O$42</c:f>
              <c:numCache>
                <c:formatCode>General</c:formatCode>
                <c:ptCount val="8"/>
                <c:pt idx="0">
                  <c:v>999.01290322580633</c:v>
                </c:pt>
                <c:pt idx="1">
                  <c:v>775.98947368421045</c:v>
                </c:pt>
                <c:pt idx="2">
                  <c:v>1245.065625</c:v>
                </c:pt>
                <c:pt idx="3">
                  <c:v>882.20172413793102</c:v>
                </c:pt>
                <c:pt idx="4">
                  <c:v>962.64285714285722</c:v>
                </c:pt>
                <c:pt idx="5">
                  <c:v>1021.5346938775507</c:v>
                </c:pt>
                <c:pt idx="6">
                  <c:v>927.36666666666667</c:v>
                </c:pt>
              </c:numCache>
            </c:numRef>
          </c:val>
          <c:extLst>
            <c:ext xmlns:c16="http://schemas.microsoft.com/office/drawing/2014/chart" uri="{C3380CC4-5D6E-409C-BE32-E72D297353CC}">
              <c16:uniqueId val="{00000000-0D6A-44EB-A9F7-5AB7FC642D4D}"/>
            </c:ext>
          </c:extLst>
        </c:ser>
        <c:dLbls>
          <c:showLegendKey val="0"/>
          <c:showVal val="0"/>
          <c:showCatName val="0"/>
          <c:showSerName val="0"/>
          <c:showPercent val="0"/>
          <c:showBubbleSize val="0"/>
        </c:dLbls>
        <c:gapWidth val="219"/>
        <c:overlap val="-27"/>
        <c:axId val="1974330464"/>
        <c:axId val="1266821824"/>
      </c:barChart>
      <c:catAx>
        <c:axId val="197433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21824"/>
        <c:crosses val="autoZero"/>
        <c:auto val="1"/>
        <c:lblAlgn val="ctr"/>
        <c:lblOffset val="100"/>
        <c:noMultiLvlLbl val="0"/>
      </c:catAx>
      <c:valAx>
        <c:axId val="126682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3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Sum of Units_kWh</c:v>
                </c:pt>
              </c:strCache>
            </c:strRef>
          </c:tx>
          <c:spPr>
            <a:solidFill>
              <a:schemeClr val="accent1"/>
            </a:solidFill>
            <a:ln>
              <a:noFill/>
            </a:ln>
            <a:effectLst/>
          </c:spPr>
          <c:invertIfNegative val="0"/>
          <c:cat>
            <c:strRef>
              <c:f>'pivot table'!$A$3:$A$11</c:f>
              <c:strCache>
                <c:ptCount val="8"/>
                <c:pt idx="0">
                  <c:v>Baidoa</c:v>
                </c:pt>
                <c:pt idx="1">
                  <c:v>Bosaso</c:v>
                </c:pt>
                <c:pt idx="2">
                  <c:v>Garowe</c:v>
                </c:pt>
                <c:pt idx="3">
                  <c:v>Hargeisa</c:v>
                </c:pt>
                <c:pt idx="4">
                  <c:v>Kismayo</c:v>
                </c:pt>
                <c:pt idx="5">
                  <c:v>Mogadishu</c:v>
                </c:pt>
                <c:pt idx="6">
                  <c:v>non_area</c:v>
                </c:pt>
                <c:pt idx="7">
                  <c:v>(blank)</c:v>
                </c:pt>
              </c:strCache>
            </c:strRef>
          </c:cat>
          <c:val>
            <c:numRef>
              <c:f>'pivot table'!$B$3:$B$11</c:f>
              <c:numCache>
                <c:formatCode>General</c:formatCode>
                <c:ptCount val="8"/>
                <c:pt idx="0">
                  <c:v>30969.399999999998</c:v>
                </c:pt>
                <c:pt idx="1">
                  <c:v>29487.599999999999</c:v>
                </c:pt>
                <c:pt idx="2">
                  <c:v>39842.1</c:v>
                </c:pt>
                <c:pt idx="3">
                  <c:v>51167.7</c:v>
                </c:pt>
                <c:pt idx="4">
                  <c:v>26954.000000000004</c:v>
                </c:pt>
                <c:pt idx="5">
                  <c:v>100110.39999999997</c:v>
                </c:pt>
                <c:pt idx="6">
                  <c:v>13910.5</c:v>
                </c:pt>
              </c:numCache>
            </c:numRef>
          </c:val>
          <c:extLst>
            <c:ext xmlns:c16="http://schemas.microsoft.com/office/drawing/2014/chart" uri="{C3380CC4-5D6E-409C-BE32-E72D297353CC}">
              <c16:uniqueId val="{00000000-2988-4017-B9F4-D50D33F4FC8F}"/>
            </c:ext>
          </c:extLst>
        </c:ser>
        <c:ser>
          <c:idx val="1"/>
          <c:order val="1"/>
          <c:tx>
            <c:strRef>
              <c:f>'pivot table'!$C$2</c:f>
              <c:strCache>
                <c:ptCount val="1"/>
                <c:pt idx="0">
                  <c:v>Sum of Total Revenue</c:v>
                </c:pt>
              </c:strCache>
            </c:strRef>
          </c:tx>
          <c:spPr>
            <a:solidFill>
              <a:schemeClr val="accent2"/>
            </a:solidFill>
            <a:ln>
              <a:noFill/>
            </a:ln>
            <a:effectLst/>
          </c:spPr>
          <c:invertIfNegative val="0"/>
          <c:cat>
            <c:strRef>
              <c:f>'pivot table'!$A$3:$A$11</c:f>
              <c:strCache>
                <c:ptCount val="8"/>
                <c:pt idx="0">
                  <c:v>Baidoa</c:v>
                </c:pt>
                <c:pt idx="1">
                  <c:v>Bosaso</c:v>
                </c:pt>
                <c:pt idx="2">
                  <c:v>Garowe</c:v>
                </c:pt>
                <c:pt idx="3">
                  <c:v>Hargeisa</c:v>
                </c:pt>
                <c:pt idx="4">
                  <c:v>Kismayo</c:v>
                </c:pt>
                <c:pt idx="5">
                  <c:v>Mogadishu</c:v>
                </c:pt>
                <c:pt idx="6">
                  <c:v>non_area</c:v>
                </c:pt>
                <c:pt idx="7">
                  <c:v>(blank)</c:v>
                </c:pt>
              </c:strCache>
            </c:strRef>
          </c:cat>
          <c:val>
            <c:numRef>
              <c:f>'pivot table'!$C$3:$C$11</c:f>
              <c:numCache>
                <c:formatCode>General</c:formatCode>
                <c:ptCount val="8"/>
                <c:pt idx="0">
                  <c:v>5807.897100000001</c:v>
                </c:pt>
                <c:pt idx="1">
                  <c:v>6562.1675999999998</c:v>
                </c:pt>
                <c:pt idx="2">
                  <c:v>8735.506400000002</c:v>
                </c:pt>
                <c:pt idx="3">
                  <c:v>5023.101999999999</c:v>
                </c:pt>
                <c:pt idx="4">
                  <c:v>5058.1601000000001</c:v>
                </c:pt>
                <c:pt idx="5">
                  <c:v>21422.382699999984</c:v>
                </c:pt>
                <c:pt idx="6">
                  <c:v>3044.3631000000009</c:v>
                </c:pt>
              </c:numCache>
            </c:numRef>
          </c:val>
          <c:extLst>
            <c:ext xmlns:c16="http://schemas.microsoft.com/office/drawing/2014/chart" uri="{C3380CC4-5D6E-409C-BE32-E72D297353CC}">
              <c16:uniqueId val="{00000001-2988-4017-B9F4-D50D33F4FC8F}"/>
            </c:ext>
          </c:extLst>
        </c:ser>
        <c:dLbls>
          <c:showLegendKey val="0"/>
          <c:showVal val="0"/>
          <c:showCatName val="0"/>
          <c:showSerName val="0"/>
          <c:showPercent val="0"/>
          <c:showBubbleSize val="0"/>
        </c:dLbls>
        <c:gapWidth val="182"/>
        <c:axId val="1266810176"/>
        <c:axId val="1266811008"/>
      </c:barChart>
      <c:catAx>
        <c:axId val="126681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11008"/>
        <c:crosses val="autoZero"/>
        <c:auto val="1"/>
        <c:lblAlgn val="ctr"/>
        <c:lblOffset val="100"/>
        <c:noMultiLvlLbl val="0"/>
      </c:catAx>
      <c:valAx>
        <c:axId val="126681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 table'!$C$32</c:f>
              <c:strCache>
                <c:ptCount val="1"/>
                <c:pt idx="0">
                  <c:v>Average of Total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8F-4A27-AB7B-B4E5120AFE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8F-4A27-AB7B-B4E5120AFE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8F-4A27-AB7B-B4E5120AFE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8F-4A27-AB7B-B4E5120AFE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88F-4A27-AB7B-B4E5120AFE50}"/>
              </c:ext>
            </c:extLst>
          </c:dPt>
          <c:cat>
            <c:strRef>
              <c:f>'pivot table'!$B$33:$B$38</c:f>
              <c:strCache>
                <c:ptCount val="5"/>
                <c:pt idx="0">
                  <c:v>non_pay</c:v>
                </c:pt>
                <c:pt idx="1">
                  <c:v>Overdue</c:v>
                </c:pt>
                <c:pt idx="2">
                  <c:v>Paid</c:v>
                </c:pt>
                <c:pt idx="3">
                  <c:v>Pending</c:v>
                </c:pt>
                <c:pt idx="4">
                  <c:v>(blank)</c:v>
                </c:pt>
              </c:strCache>
            </c:strRef>
          </c:cat>
          <c:val>
            <c:numRef>
              <c:f>'pivot table'!$C$33:$C$38</c:f>
              <c:numCache>
                <c:formatCode>General</c:formatCode>
                <c:ptCount val="5"/>
                <c:pt idx="0">
                  <c:v>241.32544500000009</c:v>
                </c:pt>
                <c:pt idx="1">
                  <c:v>243.77100555555555</c:v>
                </c:pt>
                <c:pt idx="2">
                  <c:v>180.71922578947374</c:v>
                </c:pt>
                <c:pt idx="3">
                  <c:v>142.86409259259264</c:v>
                </c:pt>
              </c:numCache>
            </c:numRef>
          </c:val>
          <c:extLst>
            <c:ext xmlns:c16="http://schemas.microsoft.com/office/drawing/2014/chart" uri="{C3380CC4-5D6E-409C-BE32-E72D297353CC}">
              <c16:uniqueId val="{0000000A-888F-4A27-AB7B-B4E5120AFE50}"/>
            </c:ext>
          </c:extLst>
        </c:ser>
        <c:ser>
          <c:idx val="1"/>
          <c:order val="1"/>
          <c:tx>
            <c:strRef>
              <c:f>'pivot table'!$D$32</c:f>
              <c:strCache>
                <c:ptCount val="1"/>
                <c:pt idx="0">
                  <c:v>Count of Customer_Type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888F-4A27-AB7B-B4E5120AFE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888F-4A27-AB7B-B4E5120AFE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888F-4A27-AB7B-B4E5120AFE5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888F-4A27-AB7B-B4E5120AFE5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888F-4A27-AB7B-B4E5120AFE50}"/>
              </c:ext>
            </c:extLst>
          </c:dPt>
          <c:cat>
            <c:strRef>
              <c:f>'pivot table'!$B$33:$B$38</c:f>
              <c:strCache>
                <c:ptCount val="5"/>
                <c:pt idx="0">
                  <c:v>non_pay</c:v>
                </c:pt>
                <c:pt idx="1">
                  <c:v>Overdue</c:v>
                </c:pt>
                <c:pt idx="2">
                  <c:v>Paid</c:v>
                </c:pt>
                <c:pt idx="3">
                  <c:v>Pending</c:v>
                </c:pt>
                <c:pt idx="4">
                  <c:v>(blank)</c:v>
                </c:pt>
              </c:strCache>
            </c:strRef>
          </c:cat>
          <c:val>
            <c:numRef>
              <c:f>'pivot table'!$D$33:$D$38</c:f>
              <c:numCache>
                <c:formatCode>General</c:formatCode>
                <c:ptCount val="5"/>
                <c:pt idx="0">
                  <c:v>20</c:v>
                </c:pt>
                <c:pt idx="1">
                  <c:v>36</c:v>
                </c:pt>
                <c:pt idx="2">
                  <c:v>190</c:v>
                </c:pt>
                <c:pt idx="3">
                  <c:v>54</c:v>
                </c:pt>
              </c:numCache>
            </c:numRef>
          </c:val>
          <c:extLst>
            <c:ext xmlns:c16="http://schemas.microsoft.com/office/drawing/2014/chart" uri="{C3380CC4-5D6E-409C-BE32-E72D297353CC}">
              <c16:uniqueId val="{00000015-888F-4A27-AB7B-B4E5120AFE5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c:f>
              <c:strCache>
                <c:ptCount val="1"/>
                <c:pt idx="0">
                  <c:v>Sum of Units_kWh</c:v>
                </c:pt>
              </c:strCache>
            </c:strRef>
          </c:tx>
          <c:spPr>
            <a:solidFill>
              <a:schemeClr val="accent1"/>
            </a:solidFill>
            <a:ln>
              <a:noFill/>
            </a:ln>
            <a:effectLst/>
          </c:spPr>
          <c:invertIfNegative val="0"/>
          <c:cat>
            <c:strRef>
              <c:f>'pivot table'!$A$3:$A$11</c:f>
              <c:strCache>
                <c:ptCount val="8"/>
                <c:pt idx="0">
                  <c:v>Baidoa</c:v>
                </c:pt>
                <c:pt idx="1">
                  <c:v>Bosaso</c:v>
                </c:pt>
                <c:pt idx="2">
                  <c:v>Garowe</c:v>
                </c:pt>
                <c:pt idx="3">
                  <c:v>Hargeisa</c:v>
                </c:pt>
                <c:pt idx="4">
                  <c:v>Kismayo</c:v>
                </c:pt>
                <c:pt idx="5">
                  <c:v>Mogadishu</c:v>
                </c:pt>
                <c:pt idx="6">
                  <c:v>non_area</c:v>
                </c:pt>
                <c:pt idx="7">
                  <c:v>(blank)</c:v>
                </c:pt>
              </c:strCache>
            </c:strRef>
          </c:cat>
          <c:val>
            <c:numRef>
              <c:f>'pivot table'!$B$3:$B$11</c:f>
              <c:numCache>
                <c:formatCode>General</c:formatCode>
                <c:ptCount val="8"/>
                <c:pt idx="0">
                  <c:v>30969.399999999998</c:v>
                </c:pt>
                <c:pt idx="1">
                  <c:v>29487.599999999999</c:v>
                </c:pt>
                <c:pt idx="2">
                  <c:v>39842.1</c:v>
                </c:pt>
                <c:pt idx="3">
                  <c:v>51167.7</c:v>
                </c:pt>
                <c:pt idx="4">
                  <c:v>26954.000000000004</c:v>
                </c:pt>
                <c:pt idx="5">
                  <c:v>100110.39999999997</c:v>
                </c:pt>
                <c:pt idx="6">
                  <c:v>13910.5</c:v>
                </c:pt>
              </c:numCache>
            </c:numRef>
          </c:val>
          <c:extLst>
            <c:ext xmlns:c16="http://schemas.microsoft.com/office/drawing/2014/chart" uri="{C3380CC4-5D6E-409C-BE32-E72D297353CC}">
              <c16:uniqueId val="{00000000-DAF9-4A3A-BCB0-C0343F2DCEAA}"/>
            </c:ext>
          </c:extLst>
        </c:ser>
        <c:ser>
          <c:idx val="1"/>
          <c:order val="1"/>
          <c:tx>
            <c:strRef>
              <c:f>'pivot table'!$C$2</c:f>
              <c:strCache>
                <c:ptCount val="1"/>
                <c:pt idx="0">
                  <c:v>Sum of Total Revenue</c:v>
                </c:pt>
              </c:strCache>
            </c:strRef>
          </c:tx>
          <c:spPr>
            <a:solidFill>
              <a:schemeClr val="accent2"/>
            </a:solidFill>
            <a:ln>
              <a:noFill/>
            </a:ln>
            <a:effectLst/>
          </c:spPr>
          <c:invertIfNegative val="0"/>
          <c:cat>
            <c:strRef>
              <c:f>'pivot table'!$A$3:$A$11</c:f>
              <c:strCache>
                <c:ptCount val="8"/>
                <c:pt idx="0">
                  <c:v>Baidoa</c:v>
                </c:pt>
                <c:pt idx="1">
                  <c:v>Bosaso</c:v>
                </c:pt>
                <c:pt idx="2">
                  <c:v>Garowe</c:v>
                </c:pt>
                <c:pt idx="3">
                  <c:v>Hargeisa</c:v>
                </c:pt>
                <c:pt idx="4">
                  <c:v>Kismayo</c:v>
                </c:pt>
                <c:pt idx="5">
                  <c:v>Mogadishu</c:v>
                </c:pt>
                <c:pt idx="6">
                  <c:v>non_area</c:v>
                </c:pt>
                <c:pt idx="7">
                  <c:v>(blank)</c:v>
                </c:pt>
              </c:strCache>
            </c:strRef>
          </c:cat>
          <c:val>
            <c:numRef>
              <c:f>'pivot table'!$C$3:$C$11</c:f>
              <c:numCache>
                <c:formatCode>General</c:formatCode>
                <c:ptCount val="8"/>
                <c:pt idx="0">
                  <c:v>5807.897100000001</c:v>
                </c:pt>
                <c:pt idx="1">
                  <c:v>6562.1675999999998</c:v>
                </c:pt>
                <c:pt idx="2">
                  <c:v>8735.506400000002</c:v>
                </c:pt>
                <c:pt idx="3">
                  <c:v>5023.101999999999</c:v>
                </c:pt>
                <c:pt idx="4">
                  <c:v>5058.1601000000001</c:v>
                </c:pt>
                <c:pt idx="5">
                  <c:v>21422.382699999984</c:v>
                </c:pt>
                <c:pt idx="6">
                  <c:v>3044.3631000000009</c:v>
                </c:pt>
              </c:numCache>
            </c:numRef>
          </c:val>
          <c:extLst>
            <c:ext xmlns:c16="http://schemas.microsoft.com/office/drawing/2014/chart" uri="{C3380CC4-5D6E-409C-BE32-E72D297353CC}">
              <c16:uniqueId val="{00000001-DAF9-4A3A-BCB0-C0343F2DCEAA}"/>
            </c:ext>
          </c:extLst>
        </c:ser>
        <c:dLbls>
          <c:showLegendKey val="0"/>
          <c:showVal val="0"/>
          <c:showCatName val="0"/>
          <c:showSerName val="0"/>
          <c:showPercent val="0"/>
          <c:showBubbleSize val="0"/>
        </c:dLbls>
        <c:gapWidth val="182"/>
        <c:axId val="1266810176"/>
        <c:axId val="1266811008"/>
      </c:barChart>
      <c:catAx>
        <c:axId val="126681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11008"/>
        <c:crosses val="autoZero"/>
        <c:auto val="1"/>
        <c:lblAlgn val="ctr"/>
        <c:lblOffset val="100"/>
        <c:noMultiLvlLbl val="0"/>
      </c:catAx>
      <c:valAx>
        <c:axId val="1266811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table'!$G$2</c:f>
              <c:strCache>
                <c:ptCount val="1"/>
                <c:pt idx="0">
                  <c:v>Sum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table'!$F$3:$F$8</c:f>
              <c:strCache>
                <c:ptCount val="5"/>
                <c:pt idx="0">
                  <c:v>Commercial</c:v>
                </c:pt>
                <c:pt idx="1">
                  <c:v>Industrial</c:v>
                </c:pt>
                <c:pt idx="2">
                  <c:v>non_customer</c:v>
                </c:pt>
                <c:pt idx="3">
                  <c:v>Residential</c:v>
                </c:pt>
                <c:pt idx="4">
                  <c:v>(blank)</c:v>
                </c:pt>
              </c:strCache>
            </c:strRef>
          </c:cat>
          <c:val>
            <c:numRef>
              <c:f>'pivot table'!$G$3:$G$8</c:f>
              <c:numCache>
                <c:formatCode>General</c:formatCode>
                <c:ptCount val="5"/>
                <c:pt idx="0">
                  <c:v>19009.89320000001</c:v>
                </c:pt>
                <c:pt idx="1">
                  <c:v>23422.939300000002</c:v>
                </c:pt>
                <c:pt idx="2">
                  <c:v>5051.0897000000004</c:v>
                </c:pt>
                <c:pt idx="3">
                  <c:v>8169.656800000007</c:v>
                </c:pt>
              </c:numCache>
            </c:numRef>
          </c:val>
          <c:extLst>
            <c:ext xmlns:c16="http://schemas.microsoft.com/office/drawing/2014/chart" uri="{C3380CC4-5D6E-409C-BE32-E72D297353CC}">
              <c16:uniqueId val="{00000000-8948-453F-89C1-A4F56C12CC38}"/>
            </c:ext>
          </c:extLst>
        </c:ser>
        <c:ser>
          <c:idx val="1"/>
          <c:order val="1"/>
          <c:tx>
            <c:strRef>
              <c:f>'pivot table'!$H$2</c:f>
              <c:strCache>
                <c:ptCount val="1"/>
                <c:pt idx="0">
                  <c:v>Sum of Units_kWh</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table'!$F$3:$F$8</c:f>
              <c:strCache>
                <c:ptCount val="5"/>
                <c:pt idx="0">
                  <c:v>Commercial</c:v>
                </c:pt>
                <c:pt idx="1">
                  <c:v>Industrial</c:v>
                </c:pt>
                <c:pt idx="2">
                  <c:v>non_customer</c:v>
                </c:pt>
                <c:pt idx="3">
                  <c:v>Residential</c:v>
                </c:pt>
                <c:pt idx="4">
                  <c:v>(blank)</c:v>
                </c:pt>
              </c:strCache>
            </c:strRef>
          </c:cat>
          <c:val>
            <c:numRef>
              <c:f>'pivot table'!$H$3:$H$8</c:f>
              <c:numCache>
                <c:formatCode>General</c:formatCode>
                <c:ptCount val="5"/>
                <c:pt idx="0">
                  <c:v>96154.599999999991</c:v>
                </c:pt>
                <c:pt idx="1">
                  <c:v>92410.299999999988</c:v>
                </c:pt>
                <c:pt idx="2">
                  <c:v>21777</c:v>
                </c:pt>
                <c:pt idx="3">
                  <c:v>82099.799999999988</c:v>
                </c:pt>
              </c:numCache>
            </c:numRef>
          </c:val>
          <c:extLst>
            <c:ext xmlns:c16="http://schemas.microsoft.com/office/drawing/2014/chart" uri="{C3380CC4-5D6E-409C-BE32-E72D297353CC}">
              <c16:uniqueId val="{00000001-8948-453F-89C1-A4F56C12CC3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table!PivotTable10</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table'!$C$32</c:f>
              <c:strCache>
                <c:ptCount val="1"/>
                <c:pt idx="0">
                  <c:v>Average of Total Revenue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table'!$B$33:$B$38</c:f>
              <c:strCache>
                <c:ptCount val="5"/>
                <c:pt idx="0">
                  <c:v>non_pay</c:v>
                </c:pt>
                <c:pt idx="1">
                  <c:v>Overdue</c:v>
                </c:pt>
                <c:pt idx="2">
                  <c:v>Paid</c:v>
                </c:pt>
                <c:pt idx="3">
                  <c:v>Pending</c:v>
                </c:pt>
                <c:pt idx="4">
                  <c:v>(blank)</c:v>
                </c:pt>
              </c:strCache>
            </c:strRef>
          </c:cat>
          <c:val>
            <c:numRef>
              <c:f>'pivot table'!$C$33:$C$38</c:f>
              <c:numCache>
                <c:formatCode>General</c:formatCode>
                <c:ptCount val="5"/>
                <c:pt idx="0">
                  <c:v>241.32544500000009</c:v>
                </c:pt>
                <c:pt idx="1">
                  <c:v>243.77100555555555</c:v>
                </c:pt>
                <c:pt idx="2">
                  <c:v>180.71922578947374</c:v>
                </c:pt>
                <c:pt idx="3">
                  <c:v>142.86409259259264</c:v>
                </c:pt>
              </c:numCache>
            </c:numRef>
          </c:val>
          <c:extLst>
            <c:ext xmlns:c16="http://schemas.microsoft.com/office/drawing/2014/chart" uri="{C3380CC4-5D6E-409C-BE32-E72D297353CC}">
              <c16:uniqueId val="{00000000-058C-4B66-A3A2-57ED27C3BB68}"/>
            </c:ext>
          </c:extLst>
        </c:ser>
        <c:ser>
          <c:idx val="1"/>
          <c:order val="1"/>
          <c:tx>
            <c:strRef>
              <c:f>'pivot table'!$D$32</c:f>
              <c:strCache>
                <c:ptCount val="1"/>
                <c:pt idx="0">
                  <c:v>Count of Customer_Type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'pivot table'!$B$33:$B$38</c:f>
              <c:strCache>
                <c:ptCount val="5"/>
                <c:pt idx="0">
                  <c:v>non_pay</c:v>
                </c:pt>
                <c:pt idx="1">
                  <c:v>Overdue</c:v>
                </c:pt>
                <c:pt idx="2">
                  <c:v>Paid</c:v>
                </c:pt>
                <c:pt idx="3">
                  <c:v>Pending</c:v>
                </c:pt>
                <c:pt idx="4">
                  <c:v>(blank)</c:v>
                </c:pt>
              </c:strCache>
            </c:strRef>
          </c:cat>
          <c:val>
            <c:numRef>
              <c:f>'pivot table'!$D$33:$D$38</c:f>
              <c:numCache>
                <c:formatCode>General</c:formatCode>
                <c:ptCount val="5"/>
                <c:pt idx="0">
                  <c:v>20</c:v>
                </c:pt>
                <c:pt idx="1">
                  <c:v>36</c:v>
                </c:pt>
                <c:pt idx="2">
                  <c:v>190</c:v>
                </c:pt>
                <c:pt idx="3">
                  <c:v>54</c:v>
                </c:pt>
              </c:numCache>
            </c:numRef>
          </c:val>
          <c:extLst>
            <c:ext xmlns:c16="http://schemas.microsoft.com/office/drawing/2014/chart" uri="{C3380CC4-5D6E-409C-BE32-E72D297353CC}">
              <c16:uniqueId val="{00000001-058C-4B66-A3A2-57ED27C3BB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[electricity consumption1.xlsx]pivot table!PivotTable13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580927384077"/>
          <c:y val="0.24939596092155147"/>
          <c:w val="0.73578937007874012"/>
          <c:h val="0.41920530766987457"/>
        </c:manualLayout>
      </c:layout>
      <c:barChart>
        <c:barDir val="col"/>
        <c:grouping val="clustered"/>
        <c:varyColors val="0"/>
        <c:ser>
          <c:idx val="0"/>
          <c:order val="0"/>
          <c:tx>
            <c:strRef>
              <c:f>'pivot table'!$O$33</c:f>
              <c:strCache>
                <c:ptCount val="1"/>
                <c:pt idx="0">
                  <c:v>Total</c:v>
                </c:pt>
              </c:strCache>
            </c:strRef>
          </c:tx>
          <c:spPr>
            <a:solidFill>
              <a:schemeClr val="accent1"/>
            </a:solidFill>
            <a:ln>
              <a:noFill/>
            </a:ln>
            <a:effectLst/>
          </c:spPr>
          <c:invertIfNegative val="0"/>
          <c:cat>
            <c:strRef>
              <c:f>'pivot table'!$N$34:$N$42</c:f>
              <c:strCache>
                <c:ptCount val="8"/>
                <c:pt idx="0">
                  <c:v>Baidoa</c:v>
                </c:pt>
                <c:pt idx="1">
                  <c:v>Bosaso</c:v>
                </c:pt>
                <c:pt idx="2">
                  <c:v>Garowe</c:v>
                </c:pt>
                <c:pt idx="3">
                  <c:v>Hargeisa</c:v>
                </c:pt>
                <c:pt idx="4">
                  <c:v>Kismayo</c:v>
                </c:pt>
                <c:pt idx="5">
                  <c:v>Mogadishu</c:v>
                </c:pt>
                <c:pt idx="6">
                  <c:v>non_area</c:v>
                </c:pt>
                <c:pt idx="7">
                  <c:v>(blank)</c:v>
                </c:pt>
              </c:strCache>
            </c:strRef>
          </c:cat>
          <c:val>
            <c:numRef>
              <c:f>'pivot table'!$O$34:$O$42</c:f>
              <c:numCache>
                <c:formatCode>General</c:formatCode>
                <c:ptCount val="8"/>
                <c:pt idx="0">
                  <c:v>999.01290322580633</c:v>
                </c:pt>
                <c:pt idx="1">
                  <c:v>775.98947368421045</c:v>
                </c:pt>
                <c:pt idx="2">
                  <c:v>1245.065625</c:v>
                </c:pt>
                <c:pt idx="3">
                  <c:v>882.20172413793102</c:v>
                </c:pt>
                <c:pt idx="4">
                  <c:v>962.64285714285722</c:v>
                </c:pt>
                <c:pt idx="5">
                  <c:v>1021.5346938775507</c:v>
                </c:pt>
                <c:pt idx="6">
                  <c:v>927.36666666666667</c:v>
                </c:pt>
              </c:numCache>
            </c:numRef>
          </c:val>
          <c:extLst>
            <c:ext xmlns:c16="http://schemas.microsoft.com/office/drawing/2014/chart" uri="{C3380CC4-5D6E-409C-BE32-E72D297353CC}">
              <c16:uniqueId val="{00000000-2A94-4117-8E91-1E5AFF62D2C3}"/>
            </c:ext>
          </c:extLst>
        </c:ser>
        <c:dLbls>
          <c:dLblPos val="outEnd"/>
          <c:showLegendKey val="0"/>
          <c:showVal val="0"/>
          <c:showCatName val="0"/>
          <c:showSerName val="0"/>
          <c:showPercent val="0"/>
          <c:showBubbleSize val="0"/>
        </c:dLbls>
        <c:gapWidth val="219"/>
        <c:overlap val="-27"/>
        <c:axId val="1974330464"/>
        <c:axId val="1266821824"/>
      </c:barChart>
      <c:catAx>
        <c:axId val="197433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821824"/>
        <c:crosses val="autoZero"/>
        <c:auto val="1"/>
        <c:lblAlgn val="ctr"/>
        <c:lblOffset val="100"/>
        <c:noMultiLvlLbl val="0"/>
      </c:catAx>
      <c:valAx>
        <c:axId val="1266821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33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46990</xdr:colOff>
      <xdr:row>10</xdr:row>
      <xdr:rowOff>76200</xdr:rowOff>
    </xdr:from>
    <xdr:to>
      <xdr:col>4</xdr:col>
      <xdr:colOff>85090</xdr:colOff>
      <xdr:row>25</xdr:row>
      <xdr:rowOff>152400</xdr:rowOff>
    </xdr:to>
    <xdr:graphicFrame macro="">
      <xdr:nvGraphicFramePr>
        <xdr:cNvPr id="2" name="Chart 1">
          <a:extLst>
            <a:ext uri="{FF2B5EF4-FFF2-40B4-BE49-F238E27FC236}">
              <a16:creationId xmlns:a16="http://schemas.microsoft.com/office/drawing/2014/main" id="{CE487D7B-FB69-4524-A9BC-3D06D11CA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261620</xdr:colOff>
      <xdr:row>4</xdr:row>
      <xdr:rowOff>6350</xdr:rowOff>
    </xdr:from>
    <xdr:to>
      <xdr:col>8</xdr:col>
      <xdr:colOff>72390</xdr:colOff>
      <xdr:row>17</xdr:row>
      <xdr:rowOff>153035</xdr:rowOff>
    </xdr:to>
    <mc:AlternateContent xmlns:mc="http://schemas.openxmlformats.org/markup-compatibility/2006">
      <mc:Choice xmlns:a14="http://schemas.microsoft.com/office/drawing/2010/main" Requires="a14">
        <xdr:graphicFrame macro="">
          <xdr:nvGraphicFramePr>
            <xdr:cNvPr id="3" name="Area">
              <a:extLst>
                <a:ext uri="{FF2B5EF4-FFF2-40B4-BE49-F238E27FC236}">
                  <a16:creationId xmlns:a16="http://schemas.microsoft.com/office/drawing/2014/main" id="{79828E3E-06AB-401E-87B7-BD62C942A648}"/>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5466080" y="707390"/>
              <a:ext cx="1822450" cy="242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8</xdr:row>
      <xdr:rowOff>38100</xdr:rowOff>
    </xdr:from>
    <xdr:to>
      <xdr:col>4</xdr:col>
      <xdr:colOff>91440</xdr:colOff>
      <xdr:row>23</xdr:row>
      <xdr:rowOff>114300</xdr:rowOff>
    </xdr:to>
    <xdr:graphicFrame macro="">
      <xdr:nvGraphicFramePr>
        <xdr:cNvPr id="2" name="Chart 1">
          <a:extLst>
            <a:ext uri="{FF2B5EF4-FFF2-40B4-BE49-F238E27FC236}">
              <a16:creationId xmlns:a16="http://schemas.microsoft.com/office/drawing/2014/main" id="{7B7F8324-89B8-467A-9694-085023048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210820</xdr:colOff>
      <xdr:row>4</xdr:row>
      <xdr:rowOff>127000</xdr:rowOff>
    </xdr:from>
    <xdr:to>
      <xdr:col>8</xdr:col>
      <xdr:colOff>34290</xdr:colOff>
      <xdr:row>18</xdr:row>
      <xdr:rowOff>111125</xdr:rowOff>
    </xdr:to>
    <mc:AlternateContent xmlns:mc="http://schemas.openxmlformats.org/markup-compatibility/2006">
      <mc:Choice xmlns:a14="http://schemas.microsoft.com/office/drawing/2010/main" Requires="a14">
        <xdr:graphicFrame macro="">
          <xdr:nvGraphicFramePr>
            <xdr:cNvPr id="3" name="Customer_Type">
              <a:extLst>
                <a:ext uri="{FF2B5EF4-FFF2-40B4-BE49-F238E27FC236}">
                  <a16:creationId xmlns:a16="http://schemas.microsoft.com/office/drawing/2014/main" id="{A02203A6-CBD3-4884-8CDF-5B32A35E5E24}"/>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5415280" y="828040"/>
              <a:ext cx="1835150" cy="2437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xdr:colOff>
      <xdr:row>8</xdr:row>
      <xdr:rowOff>19050</xdr:rowOff>
    </xdr:from>
    <xdr:to>
      <xdr:col>4</xdr:col>
      <xdr:colOff>104140</xdr:colOff>
      <xdr:row>23</xdr:row>
      <xdr:rowOff>95250</xdr:rowOff>
    </xdr:to>
    <xdr:graphicFrame macro="">
      <xdr:nvGraphicFramePr>
        <xdr:cNvPr id="2" name="Chart 1">
          <a:extLst>
            <a:ext uri="{FF2B5EF4-FFF2-40B4-BE49-F238E27FC236}">
              <a16:creationId xmlns:a16="http://schemas.microsoft.com/office/drawing/2014/main" id="{A7450963-2688-4AF5-A245-AB3871B475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313690</xdr:colOff>
      <xdr:row>4</xdr:row>
      <xdr:rowOff>107950</xdr:rowOff>
    </xdr:from>
    <xdr:to>
      <xdr:col>9</xdr:col>
      <xdr:colOff>116840</xdr:colOff>
      <xdr:row>18</xdr:row>
      <xdr:rowOff>76835</xdr:rowOff>
    </xdr:to>
    <mc:AlternateContent xmlns:mc="http://schemas.openxmlformats.org/markup-compatibility/2006">
      <mc:Choice xmlns:a14="http://schemas.microsoft.com/office/drawing/2010/main" Requires="a14">
        <xdr:graphicFrame macro="">
          <xdr:nvGraphicFramePr>
            <xdr:cNvPr id="3" name="Payment_Status">
              <a:extLst>
                <a:ext uri="{FF2B5EF4-FFF2-40B4-BE49-F238E27FC236}">
                  <a16:creationId xmlns:a16="http://schemas.microsoft.com/office/drawing/2014/main" id="{6BCDA5D5-D835-4343-9EEA-6C99DAE4A4BC}"/>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6158230" y="808990"/>
              <a:ext cx="1814830" cy="2422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35560</xdr:colOff>
      <xdr:row>16</xdr:row>
      <xdr:rowOff>165100</xdr:rowOff>
    </xdr:from>
    <xdr:to>
      <xdr:col>5</xdr:col>
      <xdr:colOff>294640</xdr:colOff>
      <xdr:row>32</xdr:row>
      <xdr:rowOff>63500</xdr:rowOff>
    </xdr:to>
    <xdr:graphicFrame macro="">
      <xdr:nvGraphicFramePr>
        <xdr:cNvPr id="2" name="Chart 1">
          <a:extLst>
            <a:ext uri="{FF2B5EF4-FFF2-40B4-BE49-F238E27FC236}">
              <a16:creationId xmlns:a16="http://schemas.microsoft.com/office/drawing/2014/main" id="{BB74108C-ABE6-409F-9E8F-DCA5928768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59690</xdr:colOff>
      <xdr:row>16</xdr:row>
      <xdr:rowOff>171450</xdr:rowOff>
    </xdr:from>
    <xdr:to>
      <xdr:col>8</xdr:col>
      <xdr:colOff>535940</xdr:colOff>
      <xdr:row>30</xdr:row>
      <xdr:rowOff>149225</xdr:rowOff>
    </xdr:to>
    <mc:AlternateContent xmlns:mc="http://schemas.openxmlformats.org/markup-compatibility/2006">
      <mc:Choice xmlns:a14="http://schemas.microsoft.com/office/drawing/2010/main" Requires="a14">
        <xdr:graphicFrame macro="">
          <xdr:nvGraphicFramePr>
            <xdr:cNvPr id="3" name="Reading_Date">
              <a:extLst>
                <a:ext uri="{FF2B5EF4-FFF2-40B4-BE49-F238E27FC236}">
                  <a16:creationId xmlns:a16="http://schemas.microsoft.com/office/drawing/2014/main" id="{E453F1CF-B75E-46B4-902E-50C697AE662E}"/>
                </a:ext>
              </a:extLst>
            </xdr:cNvPr>
            <xdr:cNvGraphicFramePr/>
          </xdr:nvGraphicFramePr>
          <xdr:xfrm>
            <a:off x="0" y="0"/>
            <a:ext cx="0" cy="0"/>
          </xdr:xfrm>
          <a:graphic>
            <a:graphicData uri="http://schemas.microsoft.com/office/drawing/2010/slicer">
              <sle:slicer xmlns:sle="http://schemas.microsoft.com/office/drawing/2010/slicer" name="Reading_Date"/>
            </a:graphicData>
          </a:graphic>
        </xdr:graphicFrame>
      </mc:Choice>
      <mc:Fallback>
        <xdr:sp macro="" textlink="">
          <xdr:nvSpPr>
            <xdr:cNvPr id="0" name=""/>
            <xdr:cNvSpPr>
              <a:spLocks noTextEdit="1"/>
            </xdr:cNvSpPr>
          </xdr:nvSpPr>
          <xdr:spPr>
            <a:xfrm>
              <a:off x="5043170" y="2975610"/>
              <a:ext cx="1817370" cy="2431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xdr:colOff>
      <xdr:row>12</xdr:row>
      <xdr:rowOff>6350</xdr:rowOff>
    </xdr:from>
    <xdr:to>
      <xdr:col>5</xdr:col>
      <xdr:colOff>260985</xdr:colOff>
      <xdr:row>27</xdr:row>
      <xdr:rowOff>82550</xdr:rowOff>
    </xdr:to>
    <xdr:graphicFrame macro="">
      <xdr:nvGraphicFramePr>
        <xdr:cNvPr id="2" name="Chart 1">
          <a:extLst>
            <a:ext uri="{FF2B5EF4-FFF2-40B4-BE49-F238E27FC236}">
              <a16:creationId xmlns:a16="http://schemas.microsoft.com/office/drawing/2014/main" id="{96559563-DA33-407E-8B81-4EEBACA5D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46</xdr:row>
      <xdr:rowOff>38100</xdr:rowOff>
    </xdr:from>
    <xdr:to>
      <xdr:col>26</xdr:col>
      <xdr:colOff>669290</xdr:colOff>
      <xdr:row>62</xdr:row>
      <xdr:rowOff>6350</xdr:rowOff>
    </xdr:to>
    <xdr:graphicFrame macro="">
      <xdr:nvGraphicFramePr>
        <xdr:cNvPr id="5" name="Chart 4">
          <a:extLst>
            <a:ext uri="{FF2B5EF4-FFF2-40B4-BE49-F238E27FC236}">
              <a16:creationId xmlns:a16="http://schemas.microsoft.com/office/drawing/2014/main" id="{D34BC079-14F8-4EEE-ADD1-34EC6ECC1A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66040</xdr:colOff>
      <xdr:row>41</xdr:row>
      <xdr:rowOff>71121</xdr:rowOff>
    </xdr:from>
    <xdr:to>
      <xdr:col>2</xdr:col>
      <xdr:colOff>795020</xdr:colOff>
      <xdr:row>61</xdr:row>
      <xdr:rowOff>72390</xdr:rowOff>
    </xdr:to>
    <mc:AlternateContent xmlns:mc="http://schemas.openxmlformats.org/markup-compatibility/2006">
      <mc:Choice xmlns:a14="http://schemas.microsoft.com/office/drawing/2010/main" Requires="a14">
        <xdr:graphicFrame macro="">
          <xdr:nvGraphicFramePr>
            <xdr:cNvPr id="11" name="Reading_Date 1">
              <a:extLst>
                <a:ext uri="{FF2B5EF4-FFF2-40B4-BE49-F238E27FC236}">
                  <a16:creationId xmlns:a16="http://schemas.microsoft.com/office/drawing/2014/main" id="{C953F788-D4DE-4863-B3C4-B57BF1A15B9B}"/>
                </a:ext>
              </a:extLst>
            </xdr:cNvPr>
            <xdr:cNvGraphicFramePr/>
          </xdr:nvGraphicFramePr>
          <xdr:xfrm>
            <a:off x="0" y="0"/>
            <a:ext cx="0" cy="0"/>
          </xdr:xfrm>
          <a:graphic>
            <a:graphicData uri="http://schemas.microsoft.com/office/drawing/2010/slicer">
              <sle:slicer xmlns:sle="http://schemas.microsoft.com/office/drawing/2010/slicer" name="Reading_Date 1"/>
            </a:graphicData>
          </a:graphic>
        </xdr:graphicFrame>
      </mc:Choice>
      <mc:Fallback>
        <xdr:sp macro="" textlink="">
          <xdr:nvSpPr>
            <xdr:cNvPr id="0" name=""/>
            <xdr:cNvSpPr>
              <a:spLocks noTextEdit="1"/>
            </xdr:cNvSpPr>
          </xdr:nvSpPr>
          <xdr:spPr>
            <a:xfrm>
              <a:off x="66040" y="7360921"/>
              <a:ext cx="2075180" cy="3557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97790</xdr:colOff>
      <xdr:row>10</xdr:row>
      <xdr:rowOff>173991</xdr:rowOff>
    </xdr:from>
    <xdr:to>
      <xdr:col>2</xdr:col>
      <xdr:colOff>802640</xdr:colOff>
      <xdr:row>22</xdr:row>
      <xdr:rowOff>34291</xdr:rowOff>
    </xdr:to>
    <mc:AlternateContent xmlns:mc="http://schemas.openxmlformats.org/markup-compatibility/2006">
      <mc:Choice xmlns:a14="http://schemas.microsoft.com/office/drawing/2010/main" Requires="a14">
        <xdr:graphicFrame macro="">
          <xdr:nvGraphicFramePr>
            <xdr:cNvPr id="12" name="Area 1">
              <a:extLst>
                <a:ext uri="{FF2B5EF4-FFF2-40B4-BE49-F238E27FC236}">
                  <a16:creationId xmlns:a16="http://schemas.microsoft.com/office/drawing/2014/main" id="{FF10F7EC-042B-436F-89F7-74AF8EBE273C}"/>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dr:sp macro="" textlink="">
          <xdr:nvSpPr>
            <xdr:cNvPr id="0" name=""/>
            <xdr:cNvSpPr>
              <a:spLocks noTextEdit="1"/>
            </xdr:cNvSpPr>
          </xdr:nvSpPr>
          <xdr:spPr>
            <a:xfrm>
              <a:off x="97790" y="1951991"/>
              <a:ext cx="2051050" cy="199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71120</xdr:colOff>
      <xdr:row>22</xdr:row>
      <xdr:rowOff>97790</xdr:rowOff>
    </xdr:from>
    <xdr:to>
      <xdr:col>2</xdr:col>
      <xdr:colOff>796290</xdr:colOff>
      <xdr:row>31</xdr:row>
      <xdr:rowOff>120649</xdr:rowOff>
    </xdr:to>
    <mc:AlternateContent xmlns:mc="http://schemas.openxmlformats.org/markup-compatibility/2006">
      <mc:Choice xmlns:a14="http://schemas.microsoft.com/office/drawing/2010/main" Requires="a14">
        <xdr:graphicFrame macro="">
          <xdr:nvGraphicFramePr>
            <xdr:cNvPr id="13" name="Customer_Type 1">
              <a:extLst>
                <a:ext uri="{FF2B5EF4-FFF2-40B4-BE49-F238E27FC236}">
                  <a16:creationId xmlns:a16="http://schemas.microsoft.com/office/drawing/2014/main" id="{EBD6F8F8-8A79-4E48-AC31-68F19599FF34}"/>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71120" y="4009390"/>
              <a:ext cx="2071370" cy="1623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32</xdr:row>
      <xdr:rowOff>27940</xdr:rowOff>
    </xdr:from>
    <xdr:to>
      <xdr:col>2</xdr:col>
      <xdr:colOff>795020</xdr:colOff>
      <xdr:row>40</xdr:row>
      <xdr:rowOff>156211</xdr:rowOff>
    </xdr:to>
    <mc:AlternateContent xmlns:mc="http://schemas.openxmlformats.org/markup-compatibility/2006">
      <mc:Choice xmlns:a14="http://schemas.microsoft.com/office/drawing/2010/main" Requires="a14">
        <xdr:graphicFrame macro="">
          <xdr:nvGraphicFramePr>
            <xdr:cNvPr id="14" name="Payment_Status 1">
              <a:extLst>
                <a:ext uri="{FF2B5EF4-FFF2-40B4-BE49-F238E27FC236}">
                  <a16:creationId xmlns:a16="http://schemas.microsoft.com/office/drawing/2014/main" id="{56F501CF-D357-4136-9BDA-16DDE53BDD9A}"/>
                </a:ext>
              </a:extLst>
            </xdr:cNvPr>
            <xdr:cNvGraphicFramePr/>
          </xdr:nvGraphicFramePr>
          <xdr:xfrm>
            <a:off x="0" y="0"/>
            <a:ext cx="0" cy="0"/>
          </xdr:xfrm>
          <a:graphic>
            <a:graphicData uri="http://schemas.microsoft.com/office/drawing/2010/slicer">
              <sle:slicer xmlns:sle="http://schemas.microsoft.com/office/drawing/2010/slicer" name="Payment_Status 1"/>
            </a:graphicData>
          </a:graphic>
        </xdr:graphicFrame>
      </mc:Choice>
      <mc:Fallback>
        <xdr:sp macro="" textlink="">
          <xdr:nvSpPr>
            <xdr:cNvPr id="0" name=""/>
            <xdr:cNvSpPr>
              <a:spLocks noTextEdit="1"/>
            </xdr:cNvSpPr>
          </xdr:nvSpPr>
          <xdr:spPr>
            <a:xfrm>
              <a:off x="68580" y="5717540"/>
              <a:ext cx="2072640" cy="15506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844627</xdr:colOff>
      <xdr:row>29</xdr:row>
      <xdr:rowOff>18361</xdr:rowOff>
    </xdr:from>
    <xdr:to>
      <xdr:col>14</xdr:col>
      <xdr:colOff>651832</xdr:colOff>
      <xdr:row>44</xdr:row>
      <xdr:rowOff>165528</xdr:rowOff>
    </xdr:to>
    <xdr:graphicFrame macro="">
      <xdr:nvGraphicFramePr>
        <xdr:cNvPr id="15" name="Chart 14">
          <a:extLst>
            <a:ext uri="{FF2B5EF4-FFF2-40B4-BE49-F238E27FC236}">
              <a16:creationId xmlns:a16="http://schemas.microsoft.com/office/drawing/2014/main" id="{A021C422-00D7-4A45-8C57-4C44BCC4E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789542</xdr:colOff>
      <xdr:row>12</xdr:row>
      <xdr:rowOff>18361</xdr:rowOff>
    </xdr:from>
    <xdr:to>
      <xdr:col>14</xdr:col>
      <xdr:colOff>615109</xdr:colOff>
      <xdr:row>27</xdr:row>
      <xdr:rowOff>163416</xdr:rowOff>
    </xdr:to>
    <xdr:graphicFrame macro="">
      <xdr:nvGraphicFramePr>
        <xdr:cNvPr id="17" name="Chart 16">
          <a:extLst>
            <a:ext uri="{FF2B5EF4-FFF2-40B4-BE49-F238E27FC236}">
              <a16:creationId xmlns:a16="http://schemas.microsoft.com/office/drawing/2014/main" id="{AF5AE72A-5022-4671-9BBC-B36B177B9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642651</xdr:colOff>
      <xdr:row>12</xdr:row>
      <xdr:rowOff>55084</xdr:rowOff>
    </xdr:from>
    <xdr:to>
      <xdr:col>27</xdr:col>
      <xdr:colOff>18362</xdr:colOff>
      <xdr:row>27</xdr:row>
      <xdr:rowOff>156072</xdr:rowOff>
    </xdr:to>
    <xdr:graphicFrame macro="">
      <xdr:nvGraphicFramePr>
        <xdr:cNvPr id="18" name="Chart 17">
          <a:extLst>
            <a:ext uri="{FF2B5EF4-FFF2-40B4-BE49-F238E27FC236}">
              <a16:creationId xmlns:a16="http://schemas.microsoft.com/office/drawing/2014/main" id="{E67A3068-55E1-4F8B-A78F-685EC76E0F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36722</xdr:colOff>
      <xdr:row>29</xdr:row>
      <xdr:rowOff>64264</xdr:rowOff>
    </xdr:from>
    <xdr:to>
      <xdr:col>26</xdr:col>
      <xdr:colOff>624288</xdr:colOff>
      <xdr:row>44</xdr:row>
      <xdr:rowOff>128529</xdr:rowOff>
    </xdr:to>
    <xdr:graphicFrame macro="">
      <xdr:nvGraphicFramePr>
        <xdr:cNvPr id="19" name="Chart 18">
          <a:extLst>
            <a:ext uri="{FF2B5EF4-FFF2-40B4-BE49-F238E27FC236}">
              <a16:creationId xmlns:a16="http://schemas.microsoft.com/office/drawing/2014/main" id="{B22319CE-04E4-4F11-8A6E-512450386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95250</xdr:colOff>
      <xdr:row>11</xdr:row>
      <xdr:rowOff>45720</xdr:rowOff>
    </xdr:from>
    <xdr:to>
      <xdr:col>2</xdr:col>
      <xdr:colOff>1417320</xdr:colOff>
      <xdr:row>25</xdr:row>
      <xdr:rowOff>121920</xdr:rowOff>
    </xdr:to>
    <xdr:graphicFrame macro="">
      <xdr:nvGraphicFramePr>
        <xdr:cNvPr id="3" name="Chart 2">
          <a:extLst>
            <a:ext uri="{FF2B5EF4-FFF2-40B4-BE49-F238E27FC236}">
              <a16:creationId xmlns:a16="http://schemas.microsoft.com/office/drawing/2014/main" id="{6BE50855-A6F0-43BA-BC79-088656D49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1257300</xdr:colOff>
      <xdr:row>8</xdr:row>
      <xdr:rowOff>167640</xdr:rowOff>
    </xdr:from>
    <xdr:to>
      <xdr:col>8</xdr:col>
      <xdr:colOff>133350</xdr:colOff>
      <xdr:row>23</xdr:row>
      <xdr:rowOff>137160</xdr:rowOff>
    </xdr:to>
    <xdr:graphicFrame macro="">
      <xdr:nvGraphicFramePr>
        <xdr:cNvPr id="4" name="Chart 3">
          <a:extLst>
            <a:ext uri="{FF2B5EF4-FFF2-40B4-BE49-F238E27FC236}">
              <a16:creationId xmlns:a16="http://schemas.microsoft.com/office/drawing/2014/main" id="{67EBD61B-9903-4B44-913E-FCEA18065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114300</xdr:colOff>
      <xdr:row>1</xdr:row>
      <xdr:rowOff>91440</xdr:rowOff>
    </xdr:from>
    <xdr:to>
      <xdr:col>9</xdr:col>
      <xdr:colOff>640080</xdr:colOff>
      <xdr:row>15</xdr:row>
      <xdr:rowOff>104775</xdr:rowOff>
    </xdr:to>
    <mc:AlternateContent xmlns:mc="http://schemas.openxmlformats.org/markup-compatibility/2006">
      <mc:Choice xmlns:a14="http://schemas.microsoft.com/office/drawing/2010/main" Requires="a14">
        <xdr:graphicFrame macro="">
          <xdr:nvGraphicFramePr>
            <xdr:cNvPr id="5" name="Customer_Type 2">
              <a:extLst>
                <a:ext uri="{FF2B5EF4-FFF2-40B4-BE49-F238E27FC236}">
                  <a16:creationId xmlns:a16="http://schemas.microsoft.com/office/drawing/2014/main" id="{A9B2A73F-DFF6-4041-AADE-973A274CEDCB}"/>
                </a:ext>
              </a:extLst>
            </xdr:cNvPr>
            <xdr:cNvGraphicFramePr/>
          </xdr:nvGraphicFramePr>
          <xdr:xfrm>
            <a:off x="0" y="0"/>
            <a:ext cx="0" cy="0"/>
          </xdr:xfrm>
          <a:graphic>
            <a:graphicData uri="http://schemas.microsoft.com/office/drawing/2010/slicer">
              <sle:slicer xmlns:sle="http://schemas.microsoft.com/office/drawing/2010/slicer" name="Customer_Type 2"/>
            </a:graphicData>
          </a:graphic>
        </xdr:graphicFrame>
      </mc:Choice>
      <mc:Fallback>
        <xdr:sp macro="" textlink="">
          <xdr:nvSpPr>
            <xdr:cNvPr id="0" name=""/>
            <xdr:cNvSpPr>
              <a:spLocks noTextEdit="1"/>
            </xdr:cNvSpPr>
          </xdr:nvSpPr>
          <xdr:spPr>
            <a:xfrm>
              <a:off x="10866120" y="2667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259080</xdr:colOff>
      <xdr:row>2</xdr:row>
      <xdr:rowOff>121920</xdr:rowOff>
    </xdr:from>
    <xdr:to>
      <xdr:col>4</xdr:col>
      <xdr:colOff>327660</xdr:colOff>
      <xdr:row>16</xdr:row>
      <xdr:rowOff>135255</xdr:rowOff>
    </xdr:to>
    <mc:AlternateContent xmlns:mc="http://schemas.openxmlformats.org/markup-compatibility/2006">
      <mc:Choice xmlns:a14="http://schemas.microsoft.com/office/drawing/2010/main" Requires="a14">
        <xdr:graphicFrame macro="">
          <xdr:nvGraphicFramePr>
            <xdr:cNvPr id="6" name="Area 2">
              <a:extLst>
                <a:ext uri="{FF2B5EF4-FFF2-40B4-BE49-F238E27FC236}">
                  <a16:creationId xmlns:a16="http://schemas.microsoft.com/office/drawing/2014/main" id="{64611C6C-EFE9-47DB-B75F-6196B981BC53}"/>
                </a:ext>
              </a:extLst>
            </xdr:cNvPr>
            <xdr:cNvGraphicFramePr/>
          </xdr:nvGraphicFramePr>
          <xdr:xfrm>
            <a:off x="0" y="0"/>
            <a:ext cx="0" cy="0"/>
          </xdr:xfrm>
          <a:graphic>
            <a:graphicData uri="http://schemas.microsoft.com/office/drawing/2010/slicer">
              <sle:slicer xmlns:sle="http://schemas.microsoft.com/office/drawing/2010/slicer" name="Area 2"/>
            </a:graphicData>
          </a:graphic>
        </xdr:graphicFrame>
      </mc:Choice>
      <mc:Fallback>
        <xdr:sp macro="" textlink="">
          <xdr:nvSpPr>
            <xdr:cNvPr id="0" name=""/>
            <xdr:cNvSpPr>
              <a:spLocks noTextEdit="1"/>
            </xdr:cNvSpPr>
          </xdr:nvSpPr>
          <xdr:spPr>
            <a:xfrm>
              <a:off x="4084320" y="472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975360</xdr:colOff>
      <xdr:row>37</xdr:row>
      <xdr:rowOff>160020</xdr:rowOff>
    </xdr:from>
    <xdr:to>
      <xdr:col>4</xdr:col>
      <xdr:colOff>22860</xdr:colOff>
      <xdr:row>52</xdr:row>
      <xdr:rowOff>53340</xdr:rowOff>
    </xdr:to>
    <xdr:graphicFrame macro="">
      <xdr:nvGraphicFramePr>
        <xdr:cNvPr id="7" name="Chart 6">
          <a:extLst>
            <a:ext uri="{FF2B5EF4-FFF2-40B4-BE49-F238E27FC236}">
              <a16:creationId xmlns:a16="http://schemas.microsoft.com/office/drawing/2014/main" id="{58D090C3-E873-45FF-ACC1-761269C76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289560</xdr:colOff>
      <xdr:row>31</xdr:row>
      <xdr:rowOff>30480</xdr:rowOff>
    </xdr:from>
    <xdr:to>
      <xdr:col>5</xdr:col>
      <xdr:colOff>815340</xdr:colOff>
      <xdr:row>45</xdr:row>
      <xdr:rowOff>43815</xdr:rowOff>
    </xdr:to>
    <mc:AlternateContent xmlns:mc="http://schemas.openxmlformats.org/markup-compatibility/2006">
      <mc:Choice xmlns:a14="http://schemas.microsoft.com/office/drawing/2010/main" Requires="a14">
        <xdr:graphicFrame macro="">
          <xdr:nvGraphicFramePr>
            <xdr:cNvPr id="8" name="Payment_Status 2">
              <a:extLst>
                <a:ext uri="{FF2B5EF4-FFF2-40B4-BE49-F238E27FC236}">
                  <a16:creationId xmlns:a16="http://schemas.microsoft.com/office/drawing/2014/main" id="{C20BDF24-999C-4151-811B-CE93DA05F500}"/>
                </a:ext>
              </a:extLst>
            </xdr:cNvPr>
            <xdr:cNvGraphicFramePr/>
          </xdr:nvGraphicFramePr>
          <xdr:xfrm>
            <a:off x="0" y="0"/>
            <a:ext cx="0" cy="0"/>
          </xdr:xfrm>
          <a:graphic>
            <a:graphicData uri="http://schemas.microsoft.com/office/drawing/2010/slicer">
              <sle:slicer xmlns:sle="http://schemas.microsoft.com/office/drawing/2010/slicer" name="Payment_Status 2"/>
            </a:graphicData>
          </a:graphic>
        </xdr:graphicFrame>
      </mc:Choice>
      <mc:Fallback>
        <xdr:sp macro="" textlink="">
          <xdr:nvSpPr>
            <xdr:cNvPr id="0" name=""/>
            <xdr:cNvSpPr>
              <a:spLocks noTextEdit="1"/>
            </xdr:cNvSpPr>
          </xdr:nvSpPr>
          <xdr:spPr>
            <a:xfrm>
              <a:off x="5875020" y="546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38100</xdr:colOff>
      <xdr:row>30</xdr:row>
      <xdr:rowOff>99060</xdr:rowOff>
    </xdr:from>
    <xdr:to>
      <xdr:col>21</xdr:col>
      <xdr:colOff>99060</xdr:colOff>
      <xdr:row>46</xdr:row>
      <xdr:rowOff>38100</xdr:rowOff>
    </xdr:to>
    <xdr:graphicFrame macro="">
      <xdr:nvGraphicFramePr>
        <xdr:cNvPr id="9" name="Chart 8">
          <a:extLst>
            <a:ext uri="{FF2B5EF4-FFF2-40B4-BE49-F238E27FC236}">
              <a16:creationId xmlns:a16="http://schemas.microsoft.com/office/drawing/2014/main" id="{975DF72C-D10A-491F-91C6-EB360D3FE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2.544253935186" createdVersion="7" refreshedVersion="7" minRefreshableVersion="3" recordCount="300" xr:uid="{28B17F42-F5BB-45B6-9571-92B27DA3FBE4}">
  <cacheSource type="worksheet">
    <worksheetSource name="Table42"/>
  </cacheSource>
  <cacheFields count="10">
    <cacheField name="Meter_ID" numFmtId="0">
      <sharedItems/>
    </cacheField>
    <cacheField name="Reading_Date" numFmtId="14">
      <sharedItems containsSemiMixedTypes="0" containsNonDate="0" containsDate="1" containsString="0" minDate="2025-01-02T00:00:00" maxDate="2026-08-01T00:00:00" count="226">
        <d v="2025-09-07T00:00:00"/>
        <d v="2026-02-17T00:00:00"/>
        <d v="2025-07-29T00:00:00"/>
        <d v="2025-02-11T00:00:00"/>
        <d v="2025-03-01T00:00:00"/>
        <d v="2025-12-16T00:00:00"/>
        <d v="2025-07-12T00:00:00"/>
        <d v="2026-05-19T00:00:00"/>
        <d v="2026-01-20T00:00:00"/>
        <d v="2026-01-29T00:00:00"/>
        <d v="2025-10-09T00:00:00"/>
        <d v="2026-01-23T00:00:00"/>
        <d v="2026-05-11T00:00:00"/>
        <d v="2025-06-14T00:00:00"/>
        <d v="2026-02-12T00:00:00"/>
        <d v="2026-07-03T00:00:00"/>
        <d v="2025-08-15T00:00:00"/>
        <d v="2026-03-10T00:00:00"/>
        <d v="2025-11-03T00:00:00"/>
        <d v="2026-06-30T00:00:00"/>
        <d v="2025-03-31T00:00:00"/>
        <d v="2025-01-04T00:00:00"/>
        <d v="2025-01-03T00:00:00"/>
        <d v="2025-02-10T00:00:00"/>
        <d v="2025-10-12T00:00:00"/>
        <d v="2026-02-23T00:00:00"/>
        <d v="2026-01-05T00:00:00"/>
        <d v="2025-12-06T00:00:00"/>
        <d v="2025-05-13T00:00:00"/>
        <d v="2026-07-06T00:00:00"/>
        <d v="2025-01-05T00:00:00"/>
        <d v="2025-10-20T00:00:00"/>
        <d v="2026-05-04T00:00:00"/>
        <d v="2025-10-04T00:00:00"/>
        <d v="2025-11-01T00:00:00"/>
        <d v="2025-11-25T00:00:00"/>
        <d v="2025-12-09T00:00:00"/>
        <d v="2025-04-23T00:00:00"/>
        <d v="2025-03-05T00:00:00"/>
        <d v="2026-07-16T00:00:00"/>
        <d v="2025-12-22T00:00:00"/>
        <d v="2026-04-07T00:00:00"/>
        <d v="2026-01-26T00:00:00"/>
        <d v="2025-12-14T00:00:00"/>
        <d v="2025-06-29T00:00:00"/>
        <d v="2025-07-07T00:00:00"/>
        <d v="2025-05-01T00:00:00"/>
        <d v="2025-03-20T00:00:00"/>
        <d v="2025-11-21T00:00:00"/>
        <d v="2025-07-01T00:00:00"/>
        <d v="2026-03-25T00:00:00"/>
        <d v="2025-06-18T00:00:00"/>
        <d v="2025-03-22T00:00:00"/>
        <d v="2025-12-10T00:00:00"/>
        <d v="2025-06-19T00:00:00"/>
        <d v="2025-10-17T00:00:00"/>
        <d v="2025-12-25T00:00:00"/>
        <d v="2025-05-02T00:00:00"/>
        <d v="2025-02-08T00:00:00"/>
        <d v="2026-07-04T00:00:00"/>
        <d v="2026-05-13T00:00:00"/>
        <d v="2025-08-27T00:00:00"/>
        <d v="2025-04-14T00:00:00"/>
        <d v="2025-10-30T00:00:00"/>
        <d v="2025-01-06T00:00:00"/>
        <d v="2026-01-27T00:00:00"/>
        <d v="2026-07-27T00:00:00"/>
        <d v="2025-06-22T00:00:00"/>
        <d v="2025-01-18T00:00:00"/>
        <d v="2025-09-01T00:00:00"/>
        <d v="2025-07-05T00:00:00"/>
        <d v="2025-04-22T00:00:00"/>
        <d v="2025-01-07T00:00:00"/>
        <d v="2026-03-22T00:00:00"/>
        <d v="2026-04-16T00:00:00"/>
        <d v="2025-01-08T00:00:00"/>
        <d v="2025-09-19T00:00:00"/>
        <d v="2025-02-05T00:00:00"/>
        <d v="2025-01-19T00:00:00"/>
        <d v="2026-04-19T00:00:00"/>
        <d v="2025-02-03T00:00:00"/>
        <d v="2025-08-02T00:00:00"/>
        <d v="2025-01-30T00:00:00"/>
        <d v="2026-06-12T00:00:00"/>
        <d v="2025-08-30T00:00:00"/>
        <d v="2025-06-09T00:00:00"/>
        <d v="2025-11-17T00:00:00"/>
        <d v="2025-10-05T00:00:00"/>
        <d v="2025-04-01T00:00:00"/>
        <d v="2026-04-05T00:00:00"/>
        <d v="2026-07-05T00:00:00"/>
        <d v="2025-04-27T00:00:00"/>
        <d v="2026-06-21T00:00:00"/>
        <d v="2025-10-13T00:00:00"/>
        <d v="2025-04-12T00:00:00"/>
        <d v="2025-01-09T00:00:00"/>
        <d v="2025-10-28T00:00:00"/>
        <d v="2026-04-12T00:00:00"/>
        <d v="2025-01-24T00:00:00"/>
        <d v="2025-05-24T00:00:00"/>
        <d v="2025-09-11T00:00:00"/>
        <d v="2025-01-02T00:00:00"/>
        <d v="2025-03-23T00:00:00"/>
        <d v="2025-03-18T00:00:00"/>
        <d v="2026-02-05T00:00:00"/>
        <d v="2025-04-30T00:00:00"/>
        <d v="2026-05-02T00:00:00"/>
        <d v="2025-12-24T00:00:00"/>
        <d v="2025-08-29T00:00:00"/>
        <d v="2026-04-08T00:00:00"/>
        <d v="2025-12-13T00:00:00"/>
        <d v="2025-09-09T00:00:00"/>
        <d v="2025-02-06T00:00:00"/>
        <d v="2025-12-20T00:00:00"/>
        <d v="2025-12-07T00:00:00"/>
        <d v="2025-01-11T00:00:00"/>
        <d v="2026-07-31T00:00:00"/>
        <d v="2026-01-06T00:00:00"/>
        <d v="2025-03-09T00:00:00"/>
        <d v="2025-07-03T00:00:00"/>
        <d v="2025-02-18T00:00:00"/>
        <d v="2025-02-07T00:00:00"/>
        <d v="2025-11-07T00:00:00"/>
        <d v="2025-05-22T00:00:00"/>
        <d v="2026-03-04T00:00:00"/>
        <d v="2026-06-11T00:00:00"/>
        <d v="2025-07-18T00:00:00"/>
        <d v="2025-08-04T00:00:00"/>
        <d v="2025-11-24T00:00:00"/>
        <d v="2025-01-10T00:00:00"/>
        <d v="2025-12-03T00:00:00"/>
        <d v="2026-01-01T00:00:00"/>
        <d v="2025-08-09T00:00:00"/>
        <d v="2026-07-15T00:00:00"/>
        <d v="2025-07-27T00:00:00"/>
        <d v="2025-04-19T00:00:00"/>
        <d v="2025-09-02T00:00:00"/>
        <d v="2025-10-29T00:00:00"/>
        <d v="2025-01-12T00:00:00"/>
        <d v="2025-12-19T00:00:00"/>
        <d v="2025-09-24T00:00:00"/>
        <d v="2025-10-15T00:00:00"/>
        <d v="2025-01-13T00:00:00"/>
        <d v="2025-01-14T00:00:00"/>
        <d v="2025-01-15T00:00:00"/>
        <d v="2025-09-21T00:00:00"/>
        <d v="2025-10-16T00:00:00"/>
        <d v="2025-06-23T00:00:00"/>
        <d v="2026-02-21T00:00:00"/>
        <d v="2025-01-16T00:00:00"/>
        <d v="2026-03-23T00:00:00"/>
        <d v="2025-05-11T00:00:00"/>
        <d v="2025-04-09T00:00:00"/>
        <d v="2025-02-26T00:00:00"/>
        <d v="2026-03-24T00:00:00"/>
        <d v="2026-06-15T00:00:00"/>
        <d v="2025-04-28T00:00:00"/>
        <d v="2025-01-26T00:00:00"/>
        <d v="2025-12-15T00:00:00"/>
        <d v="2025-12-18T00:00:00"/>
        <d v="2025-09-28T00:00:00"/>
        <d v="2026-03-18T00:00:00"/>
        <d v="2025-03-02T00:00:00"/>
        <d v="2025-02-28T00:00:00"/>
        <d v="2025-05-07T00:00:00"/>
        <d v="2026-02-28T00:00:00"/>
        <d v="2026-05-01T00:00:00"/>
        <d v="2025-12-26T00:00:00"/>
        <d v="2026-07-13T00:00:00"/>
        <d v="2025-06-15T00:00:00"/>
        <d v="2025-07-10T00:00:00"/>
        <d v="2025-07-17T00:00:00"/>
        <d v="2025-08-28T00:00:00"/>
        <d v="2025-02-15T00:00:00"/>
        <d v="2025-11-09T00:00:00"/>
        <d v="2026-07-26T00:00:00"/>
        <d v="2025-06-27T00:00:00"/>
        <d v="2025-06-06T00:00:00"/>
        <d v="2025-04-03T00:00:00"/>
        <d v="2025-01-17T00:00:00"/>
        <d v="2026-04-20T00:00:00"/>
        <d v="2025-11-04T00:00:00"/>
        <d v="2025-09-08T00:00:00"/>
        <d v="2025-02-20T00:00:00"/>
        <d v="2026-02-25T00:00:00"/>
        <d v="2025-11-26T00:00:00"/>
        <d v="2025-06-20T00:00:00"/>
        <d v="2026-06-08T00:00:00"/>
        <d v="2026-02-08T00:00:00"/>
        <d v="2025-07-16T00:00:00"/>
        <d v="2025-09-23T00:00:00"/>
        <d v="2026-04-27T00:00:00"/>
        <d v="2026-03-01T00:00:00"/>
        <d v="2026-02-10T00:00:00"/>
        <d v="2026-02-18T00:00:00"/>
        <d v="2025-06-02T00:00:00"/>
        <d v="2025-11-02T00:00:00"/>
        <d v="2026-04-26T00:00:00"/>
        <d v="2025-10-14T00:00:00"/>
        <d v="2025-12-08T00:00:00"/>
        <d v="2026-01-14T00:00:00"/>
        <d v="2026-05-09T00:00:00"/>
        <d v="2026-03-21T00:00:00"/>
        <d v="2025-02-19T00:00:00"/>
        <d v="2025-06-05T00:00:00"/>
        <d v="2025-06-25T00:00:00"/>
        <d v="2026-01-03T00:00:00"/>
        <d v="2025-08-21T00:00:00"/>
        <d v="2026-06-03T00:00:00"/>
        <d v="2025-09-30T00:00:00"/>
        <d v="2026-05-26T00:00:00"/>
        <d v="2026-05-29T00:00:00"/>
        <d v="2025-05-16T00:00:00"/>
        <d v="2025-07-20T00:00:00"/>
        <d v="2026-06-23T00:00:00"/>
        <d v="2026-06-14T00:00:00"/>
        <d v="2025-10-22T00:00:00"/>
        <d v="2025-11-18T00:00:00"/>
        <d v="2025-04-02T00:00:00"/>
        <d v="2026-07-11T00:00:00"/>
        <d v="2025-11-30T00:00:00"/>
        <d v="2026-04-03T00:00:00"/>
        <d v="2025-03-17T00:00:00"/>
        <d v="2026-02-09T00:00:00"/>
        <d v="2026-05-25T00:00:00"/>
        <d v="2025-12-17T00:00:00"/>
      </sharedItems>
      <fieldGroup par="9" base="1">
        <rangePr groupBy="months" startDate="2025-01-02T00:00:00" endDate="2026-08-01T00:00:00"/>
        <groupItems count="14">
          <s v="&lt;1/2/2025"/>
          <s v="Jan"/>
          <s v="Feb"/>
          <s v="Mar"/>
          <s v="Apr"/>
          <s v="May"/>
          <s v="Jun"/>
          <s v="Jul"/>
          <s v="Aug"/>
          <s v="Sep"/>
          <s v="Oct"/>
          <s v="Nov"/>
          <s v="Dec"/>
          <s v="&gt;8/1/2026"/>
        </groupItems>
      </fieldGroup>
    </cacheField>
    <cacheField name="Area" numFmtId="0">
      <sharedItems count="6">
        <s v="Hargeisa"/>
        <s v="Mogadishu"/>
        <s v="Baidoa"/>
        <s v="Kismayo"/>
        <s v="Bosaso"/>
        <s v="Garowe"/>
      </sharedItems>
    </cacheField>
    <cacheField name="Customer_Type" numFmtId="0">
      <sharedItems count="3">
        <s v="Residential"/>
        <s v="Commercial"/>
        <s v="Industrial"/>
      </sharedItems>
    </cacheField>
    <cacheField name="Units_kWh" numFmtId="166">
      <sharedItems containsSemiMixedTypes="0" containsString="0" containsNumber="1" minValue="81" maxValue="10022"/>
    </cacheField>
    <cacheField name="Tariff_per_kWh" numFmtId="167">
      <sharedItems containsSemiMixedTypes="0" containsString="0" containsNumber="1" minValue="0.17" maxValue="23"/>
    </cacheField>
    <cacheField name="Payment_Status" numFmtId="0">
      <sharedItems count="3">
        <s v="Paid"/>
        <s v="Pending"/>
        <s v="Overdue"/>
      </sharedItems>
    </cacheField>
    <cacheField name="Total Revenue" numFmtId="167">
      <sharedItems containsSemiMixedTypes="0" containsString="0" containsNumber="1" minValue="14.093000000000002" maxValue="2139"/>
    </cacheField>
    <cacheField name="Quarters" numFmtId="0" databaseField="0">
      <fieldGroup base="1">
        <rangePr groupBy="quarters" startDate="2025-01-02T00:00:00" endDate="2026-08-01T00:00:00"/>
        <groupItems count="6">
          <s v="&lt;1/2/2025"/>
          <s v="Qtr1"/>
          <s v="Qtr2"/>
          <s v="Qtr3"/>
          <s v="Qtr4"/>
          <s v="&gt;8/1/2026"/>
        </groupItems>
      </fieldGroup>
    </cacheField>
    <cacheField name="Years" numFmtId="0" databaseField="0">
      <fieldGroup base="1">
        <rangePr groupBy="years" startDate="2025-01-02T00:00:00" endDate="2026-08-01T00:00:00"/>
        <groupItems count="4">
          <s v="&lt;1/2/2025"/>
          <s v="2025"/>
          <s v="2026"/>
          <s v="&gt;8/1/2026"/>
        </groupItems>
      </fieldGroup>
    </cacheField>
  </cacheFields>
  <extLst>
    <ext xmlns:x14="http://schemas.microsoft.com/office/spreadsheetml/2009/9/main" uri="{725AE2AE-9491-48be-B2B4-4EB974FC3084}">
      <x14:pivotCacheDefinition pivotCacheId="20312716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9.448065625002" createdVersion="7" refreshedVersion="7" minRefreshableVersion="3" recordCount="301" xr:uid="{5D465FE1-9B8C-4C76-8FB8-9D705AE68AF0}">
  <cacheSource type="worksheet">
    <worksheetSource ref="B1:H1048576" sheet="Data_clean"/>
  </cacheSource>
  <cacheFields count="7">
    <cacheField name="Reading_Date" numFmtId="0">
      <sharedItems containsDate="1" containsBlank="1" containsMixedTypes="1" minDate="2025-01-01T00:00:00" maxDate="2026-08-01T00:00:00" count="217">
        <d v="2025-07-29T00:00:00"/>
        <d v="2025-02-11T00:00:00"/>
        <d v="2025-03-01T00:00:00"/>
        <d v="2026-05-11T00:00:00"/>
        <d v="2025-06-14T00:00:00"/>
        <d v="2026-07-03T00:00:00"/>
        <d v="2025-11-03T00:00:00"/>
        <d v="2025-03-31T00:00:00"/>
        <d v="2026-02-23T00:00:00"/>
        <d v="2026-01-05T00:00:00"/>
        <d v="2025-10-04T00:00:00"/>
        <d v="2026-02-12T00:00:00"/>
        <d v="2025-07-07T00:00:00"/>
        <d v="2025-01-05T00:00:00"/>
        <d v="2025-12-10T00:00:00"/>
        <d v="2025-06-19T00:00:00"/>
        <s v="non_date"/>
        <d v="2026-01-27T00:00:00"/>
        <d v="2025-01-18T00:00:00"/>
        <d v="2026-03-22T00:00:00"/>
        <d v="2025-02-03T00:00:00"/>
        <d v="2026-04-05T00:00:00"/>
        <d v="2026-07-05T00:00:00"/>
        <d v="2026-06-21T00:00:00"/>
        <d v="2025-01-24T00:00:00"/>
        <d v="2025-07-05T00:00:00"/>
        <d v="2025-03-23T00:00:00"/>
        <d v="2026-05-04T00:00:00"/>
        <d v="2025-02-06T00:00:00"/>
        <d v="2026-07-31T00:00:00"/>
        <d v="2025-09-11T00:00:00"/>
        <d v="2026-01-06T00:00:00"/>
        <d v="2025-03-09T00:00:00"/>
        <d v="2025-02-07T00:00:00"/>
        <d v="2025-11-07T00:00:00"/>
        <d v="2025-11-24T00:00:00"/>
        <d v="2025-12-03T00:00:00"/>
        <d v="2026-07-15T00:00:00"/>
        <d v="2025-07-27T00:00:00"/>
        <d v="2025-04-19T00:00:00"/>
        <d v="2026-01-01T00:00:00"/>
        <d v="2025-10-16T00:00:00"/>
        <d v="2025-02-28T00:00:00"/>
        <d v="2025-05-13T00:00:00"/>
        <d v="2026-02-28T00:00:00"/>
        <d v="2026-07-13T00:00:00"/>
        <d v="2025-07-17T00:00:00"/>
        <d v="2025-02-15T00:00:00"/>
        <d v="2026-07-04T00:00:00"/>
        <d v="2025-04-03T00:00:00"/>
        <d v="2025-07-03T00:00:00"/>
        <d v="2025-11-04T00:00:00"/>
        <d v="2026-02-25T00:00:00"/>
        <d v="2025-01-13T00:00:00"/>
        <d v="2025-11-26T00:00:00"/>
        <d v="2025-06-20T00:00:00"/>
        <d v="2026-02-18T00:00:00"/>
        <d v="2025-06-02T00:00:00"/>
        <d v="2026-04-26T00:00:00"/>
        <d v="2025-10-14T00:00:00"/>
        <d v="2025-12-08T00:00:00"/>
        <d v="2026-05-09T00:00:00"/>
        <d v="2026-03-21T00:00:00"/>
        <d v="2025-06-05T00:00:00"/>
        <d v="2026-05-26T00:00:00"/>
        <d v="2026-07-11T00:00:00"/>
        <d v="2026-02-09T00:00:00"/>
        <d v="2025-09-24T00:00:00"/>
        <d v="2025-12-17T00:00:00"/>
        <d v="2026-01-29T00:00:00"/>
        <d v="2025-12-09T00:00:00"/>
        <d v="2025-05-02T00:00:00"/>
        <d v="2025-04-22T00:00:00"/>
        <d v="2026-06-12T00:00:00"/>
        <d v="2025-06-09T00:00:00"/>
        <d v="2025-01-02T00:00:00"/>
        <d v="2025-08-09T00:00:00"/>
        <d v="2025-04-28T00:00:00"/>
        <d v="2025-01-26T00:00:00"/>
        <d v="2026-02-08T00:00:00"/>
        <d v="2026-01-03T00:00:00"/>
        <d v="2026-07-16T00:00:00"/>
        <d v="2026-04-03T00:00:00"/>
        <d v="2025-09-07T00:00:00"/>
        <d v="2026-02-17T00:00:00"/>
        <d v="2025-12-16T00:00:00"/>
        <d v="2026-05-19T00:00:00"/>
        <d v="2026-01-20T00:00:00"/>
        <d v="2025-10-09T00:00:00"/>
        <d v="2026-01-23T00:00:00"/>
        <d v="2025-08-15T00:00:00"/>
        <d v="2026-06-30T00:00:00"/>
        <d v="2025-01-01T00:00:00"/>
        <d v="2025-02-10T00:00:00"/>
        <d v="2025-10-12T00:00:00"/>
        <d v="2025-12-06T00:00:00"/>
        <d v="2026-07-06T00:00:00"/>
        <d v="2025-10-20T00:00:00"/>
        <d v="2025-11-25T00:00:00"/>
        <d v="2025-03-05T00:00:00"/>
        <d v="2025-12-22T00:00:00"/>
        <d v="2026-04-07T00:00:00"/>
        <d v="2026-01-26T00:00:00"/>
        <d v="2025-12-14T00:00:00"/>
        <d v="2025-06-29T00:00:00"/>
        <d v="2025-05-01T00:00:00"/>
        <d v="2025-03-20T00:00:00"/>
        <d v="2025-11-21T00:00:00"/>
        <d v="2026-03-25T00:00:00"/>
        <d v="2025-06-18T00:00:00"/>
        <d v="2025-03-22T00:00:00"/>
        <d v="2025-10-17T00:00:00"/>
        <d v="2025-12-25T00:00:00"/>
        <d v="2025-02-08T00:00:00"/>
        <d v="2026-05-13T00:00:00"/>
        <d v="2025-08-27T00:00:00"/>
        <d v="2025-04-14T00:00:00"/>
        <d v="2025-10-30T00:00:00"/>
        <d v="2026-07-27T00:00:00"/>
        <d v="2025-06-22T00:00:00"/>
        <d v="2026-04-16T00:00:00"/>
        <d v="2025-09-19T00:00:00"/>
        <d v="2025-02-05T00:00:00"/>
        <d v="2025-01-19T00:00:00"/>
        <d v="2026-04-19T00:00:00"/>
        <d v="2025-08-02T00:00:00"/>
        <d v="2025-01-30T00:00:00"/>
        <d v="2025-08-30T00:00:00"/>
        <d v="2025-11-17T00:00:00"/>
        <d v="2025-10-05T00:00:00"/>
        <d v="2025-04-01T00:00:00"/>
        <d v="2025-04-27T00:00:00"/>
        <d v="2025-10-13T00:00:00"/>
        <d v="2025-04-12T00:00:00"/>
        <d v="2025-10-28T00:00:00"/>
        <d v="2026-04-12T00:00:00"/>
        <d v="2025-05-24T00:00:00"/>
        <d v="2025-03-18T00:00:00"/>
        <d v="2026-02-05T00:00:00"/>
        <d v="2025-09-01T00:00:00"/>
        <d v="2025-04-30T00:00:00"/>
        <d v="2026-05-02T00:00:00"/>
        <d v="2025-12-24T00:00:00"/>
        <d v="2025-08-29T00:00:00"/>
        <d v="2026-04-08T00:00:00"/>
        <d v="2025-12-13T00:00:00"/>
        <d v="2025-09-09T00:00:00"/>
        <d v="2025-12-20T00:00:00"/>
        <d v="2025-12-07T00:00:00"/>
        <d v="2025-01-11T00:00:00"/>
        <d v="2025-02-18T00:00:00"/>
        <d v="2025-05-22T00:00:00"/>
        <d v="2026-03-04T00:00:00"/>
        <d v="2026-06-11T00:00:00"/>
        <d v="2025-08-04T00:00:00"/>
        <d v="2025-10-29T00:00:00"/>
        <d v="2025-12-19T00:00:00"/>
        <d v="2025-10-15T00:00:00"/>
        <d v="2025-09-21T00:00:00"/>
        <d v="2025-06-23T00:00:00"/>
        <d v="2026-02-21T00:00:00"/>
        <d v="2026-03-23T00:00:00"/>
        <d v="2025-05-11T00:00:00"/>
        <d v="2025-04-09T00:00:00"/>
        <d v="2026-03-24T00:00:00"/>
        <d v="2026-06-15T00:00:00"/>
        <d v="2025-12-15T00:00:00"/>
        <d v="2025-12-18T00:00:00"/>
        <d v="2026-03-18T00:00:00"/>
        <d v="2025-03-02T00:00:00"/>
        <d v="2025-05-07T00:00:00"/>
        <d v="2026-05-01T00:00:00"/>
        <d v="2025-12-26T00:00:00"/>
        <d v="2025-06-15T00:00:00"/>
        <d v="2025-07-10T00:00:00"/>
        <d v="2025-08-28T00:00:00"/>
        <d v="2025-11-09T00:00:00"/>
        <d v="2026-07-26T00:00:00"/>
        <d v="2025-06-27T00:00:00"/>
        <d v="2025-06-06T00:00:00"/>
        <d v="2026-04-20T00:00:00"/>
        <d v="2025-01-14T00:00:00"/>
        <d v="2025-09-08T00:00:00"/>
        <d v="2025-09-02T00:00:00"/>
        <d v="2025-07-01T00:00:00"/>
        <d v="2026-06-08T00:00:00"/>
        <d v="2025-07-16T00:00:00"/>
        <d v="2025-01-06T00:00:00"/>
        <d v="2025-09-23T00:00:00"/>
        <d v="2026-02-10T00:00:00"/>
        <d v="2025-11-02T00:00:00"/>
        <d v="2026-01-14T00:00:00"/>
        <d v="2025-02-19T00:00:00"/>
        <d v="2025-06-25T00:00:00"/>
        <d v="2025-08-21T00:00:00"/>
        <d v="2026-06-03T00:00:00"/>
        <d v="2025-09-30T00:00:00"/>
        <d v="2026-05-29T00:00:00"/>
        <d v="2025-05-16T00:00:00"/>
        <d v="2025-07-20T00:00:00"/>
        <d v="2026-06-23T00:00:00"/>
        <d v="2026-06-14T00:00:00"/>
        <d v="2025-10-22T00:00:00"/>
        <d v="2025-11-18T00:00:00"/>
        <d v="2025-11-30T00:00:00"/>
        <d v="2025-04-02T00:00:00"/>
        <d v="2025-03-17T00:00:00"/>
        <d v="2026-05-25T00:00:00"/>
        <d v="2025-07-12T00:00:00"/>
        <d v="2026-03-10T00:00:00"/>
        <d v="2025-11-01T00:00:00"/>
        <d v="2025-04-23T00:00:00"/>
        <d v="2025-07-18T00:00:00"/>
        <d v="2025-02-20T00:00:00"/>
        <d v="2026-04-27T00:00:00"/>
        <d v="2026-03-01T00:00:00"/>
        <m/>
      </sharedItems>
    </cacheField>
    <cacheField name="Area" numFmtId="0">
      <sharedItems containsBlank="1" count="8">
        <s v="Mogadishu"/>
        <s v="Baidoa"/>
        <s v="Kismayo"/>
        <s v="Bosaso"/>
        <s v="Garowe"/>
        <s v="Hargeisa"/>
        <s v="non_area"/>
        <m/>
      </sharedItems>
    </cacheField>
    <cacheField name="Customer_Type" numFmtId="0">
      <sharedItems containsBlank="1" count="5">
        <s v="Commercial"/>
        <s v="Industrial"/>
        <s v="Residential"/>
        <s v="non_customer"/>
        <m/>
      </sharedItems>
    </cacheField>
    <cacheField name="Units_kWh" numFmtId="0">
      <sharedItems containsString="0" containsBlank="1" containsNumber="1" minValue="0" maxValue="10022"/>
    </cacheField>
    <cacheField name="Tariff_per_kWh" numFmtId="0">
      <sharedItems containsString="0" containsBlank="1" containsNumber="1" minValue="-10" maxValue="23"/>
    </cacheField>
    <cacheField name="Payment_Status" numFmtId="0">
      <sharedItems containsBlank="1" count="5">
        <s v="Paid"/>
        <s v="Pending"/>
        <s v="non_pay"/>
        <s v="Overdue"/>
        <m/>
      </sharedItems>
    </cacheField>
    <cacheField name="Total Revenue" numFmtId="0">
      <sharedItems containsString="0" containsBlank="1" containsNumber="1" minValue="-5979" maxValue="1881.5039999999999"/>
    </cacheField>
  </cacheFields>
  <extLst>
    <ext xmlns:x14="http://schemas.microsoft.com/office/spreadsheetml/2009/9/main" uri="{725AE2AE-9491-48be-B2B4-4EB974FC3084}">
      <x14:pivotCacheDefinition pivotCacheId="19899598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59.462924189815" createdVersion="7" refreshedVersion="7" minRefreshableVersion="3" recordCount="301" xr:uid="{8AECC3CB-D12C-41A7-9EBC-42B2F26C7D19}">
  <cacheSource type="worksheet">
    <worksheetSource ref="A1:H1048576" sheet="Data_clean"/>
  </cacheSource>
  <cacheFields count="9">
    <cacheField name="Meter_ID" numFmtId="0">
      <sharedItems containsBlank="1"/>
    </cacheField>
    <cacheField name="Reading_Date" numFmtId="0">
      <sharedItems containsDate="1" containsBlank="1" containsMixedTypes="1" minDate="2025-01-01T00:00:00" maxDate="2026-08-01T00:00:00" count="217">
        <d v="2025-07-29T00:00:00"/>
        <d v="2025-02-11T00:00:00"/>
        <d v="2025-03-01T00:00:00"/>
        <d v="2026-05-11T00:00:00"/>
        <d v="2025-06-14T00:00:00"/>
        <d v="2026-07-03T00:00:00"/>
        <d v="2025-11-03T00:00:00"/>
        <d v="2025-03-31T00:00:00"/>
        <d v="2026-02-23T00:00:00"/>
        <d v="2026-01-05T00:00:00"/>
        <d v="2025-10-04T00:00:00"/>
        <d v="2026-02-12T00:00:00"/>
        <d v="2025-07-07T00:00:00"/>
        <d v="2025-01-05T00:00:00"/>
        <d v="2025-12-10T00:00:00"/>
        <d v="2025-06-19T00:00:00"/>
        <s v="non_date"/>
        <d v="2026-01-27T00:00:00"/>
        <d v="2025-01-18T00:00:00"/>
        <d v="2026-03-22T00:00:00"/>
        <d v="2025-02-03T00:00:00"/>
        <d v="2026-04-05T00:00:00"/>
        <d v="2026-07-05T00:00:00"/>
        <d v="2026-06-21T00:00:00"/>
        <d v="2025-01-24T00:00:00"/>
        <d v="2025-07-05T00:00:00"/>
        <d v="2025-03-23T00:00:00"/>
        <d v="2026-05-04T00:00:00"/>
        <d v="2025-02-06T00:00:00"/>
        <d v="2026-07-31T00:00:00"/>
        <d v="2025-09-11T00:00:00"/>
        <d v="2026-01-06T00:00:00"/>
        <d v="2025-03-09T00:00:00"/>
        <d v="2025-02-07T00:00:00"/>
        <d v="2025-11-07T00:00:00"/>
        <d v="2025-11-24T00:00:00"/>
        <d v="2025-12-03T00:00:00"/>
        <d v="2026-07-15T00:00:00"/>
        <d v="2025-07-27T00:00:00"/>
        <d v="2025-04-19T00:00:00"/>
        <d v="2026-01-01T00:00:00"/>
        <d v="2025-10-16T00:00:00"/>
        <d v="2025-02-28T00:00:00"/>
        <d v="2025-05-13T00:00:00"/>
        <d v="2026-02-28T00:00:00"/>
        <d v="2026-07-13T00:00:00"/>
        <d v="2025-07-17T00:00:00"/>
        <d v="2025-02-15T00:00:00"/>
        <d v="2026-07-04T00:00:00"/>
        <d v="2025-04-03T00:00:00"/>
        <d v="2025-07-03T00:00:00"/>
        <d v="2025-11-04T00:00:00"/>
        <d v="2026-02-25T00:00:00"/>
        <d v="2025-01-13T00:00:00"/>
        <d v="2025-11-26T00:00:00"/>
        <d v="2025-06-20T00:00:00"/>
        <d v="2026-02-18T00:00:00"/>
        <d v="2025-06-02T00:00:00"/>
        <d v="2026-04-26T00:00:00"/>
        <d v="2025-10-14T00:00:00"/>
        <d v="2025-12-08T00:00:00"/>
        <d v="2026-05-09T00:00:00"/>
        <d v="2026-03-21T00:00:00"/>
        <d v="2025-06-05T00:00:00"/>
        <d v="2026-05-26T00:00:00"/>
        <d v="2026-07-11T00:00:00"/>
        <d v="2026-02-09T00:00:00"/>
        <d v="2025-09-24T00:00:00"/>
        <d v="2025-12-17T00:00:00"/>
        <d v="2026-01-29T00:00:00"/>
        <d v="2025-12-09T00:00:00"/>
        <d v="2025-05-02T00:00:00"/>
        <d v="2025-04-22T00:00:00"/>
        <d v="2026-06-12T00:00:00"/>
        <d v="2025-06-09T00:00:00"/>
        <d v="2025-01-02T00:00:00"/>
        <d v="2025-08-09T00:00:00"/>
        <d v="2025-04-28T00:00:00"/>
        <d v="2025-01-26T00:00:00"/>
        <d v="2026-02-08T00:00:00"/>
        <d v="2026-01-03T00:00:00"/>
        <d v="2026-07-16T00:00:00"/>
        <d v="2026-04-03T00:00:00"/>
        <d v="2025-09-07T00:00:00"/>
        <d v="2026-02-17T00:00:00"/>
        <d v="2025-12-16T00:00:00"/>
        <d v="2026-05-19T00:00:00"/>
        <d v="2026-01-20T00:00:00"/>
        <d v="2025-10-09T00:00:00"/>
        <d v="2026-01-23T00:00:00"/>
        <d v="2025-08-15T00:00:00"/>
        <d v="2026-06-30T00:00:00"/>
        <d v="2025-01-01T00:00:00"/>
        <d v="2025-02-10T00:00:00"/>
        <d v="2025-10-12T00:00:00"/>
        <d v="2025-12-06T00:00:00"/>
        <d v="2026-07-06T00:00:00"/>
        <d v="2025-10-20T00:00:00"/>
        <d v="2025-11-25T00:00:00"/>
        <d v="2025-03-05T00:00:00"/>
        <d v="2025-12-22T00:00:00"/>
        <d v="2026-04-07T00:00:00"/>
        <d v="2026-01-26T00:00:00"/>
        <d v="2025-12-14T00:00:00"/>
        <d v="2025-06-29T00:00:00"/>
        <d v="2025-05-01T00:00:00"/>
        <d v="2025-03-20T00:00:00"/>
        <d v="2025-11-21T00:00:00"/>
        <d v="2026-03-25T00:00:00"/>
        <d v="2025-06-18T00:00:00"/>
        <d v="2025-03-22T00:00:00"/>
        <d v="2025-10-17T00:00:00"/>
        <d v="2025-12-25T00:00:00"/>
        <d v="2025-02-08T00:00:00"/>
        <d v="2026-05-13T00:00:00"/>
        <d v="2025-08-27T00:00:00"/>
        <d v="2025-04-14T00:00:00"/>
        <d v="2025-10-30T00:00:00"/>
        <d v="2026-07-27T00:00:00"/>
        <d v="2025-06-22T00:00:00"/>
        <d v="2026-04-16T00:00:00"/>
        <d v="2025-09-19T00:00:00"/>
        <d v="2025-02-05T00:00:00"/>
        <d v="2025-01-19T00:00:00"/>
        <d v="2026-04-19T00:00:00"/>
        <d v="2025-08-02T00:00:00"/>
        <d v="2025-01-30T00:00:00"/>
        <d v="2025-08-30T00:00:00"/>
        <d v="2025-11-17T00:00:00"/>
        <d v="2025-10-05T00:00:00"/>
        <d v="2025-04-01T00:00:00"/>
        <d v="2025-04-27T00:00:00"/>
        <d v="2025-10-13T00:00:00"/>
        <d v="2025-04-12T00:00:00"/>
        <d v="2025-10-28T00:00:00"/>
        <d v="2026-04-12T00:00:00"/>
        <d v="2025-05-24T00:00:00"/>
        <d v="2025-03-18T00:00:00"/>
        <d v="2026-02-05T00:00:00"/>
        <d v="2025-09-01T00:00:00"/>
        <d v="2025-04-30T00:00:00"/>
        <d v="2026-05-02T00:00:00"/>
        <d v="2025-12-24T00:00:00"/>
        <d v="2025-08-29T00:00:00"/>
        <d v="2026-04-08T00:00:00"/>
        <d v="2025-12-13T00:00:00"/>
        <d v="2025-09-09T00:00:00"/>
        <d v="2025-12-20T00:00:00"/>
        <d v="2025-12-07T00:00:00"/>
        <d v="2025-01-11T00:00:00"/>
        <d v="2025-02-18T00:00:00"/>
        <d v="2025-05-22T00:00:00"/>
        <d v="2026-03-04T00:00:00"/>
        <d v="2026-06-11T00:00:00"/>
        <d v="2025-08-04T00:00:00"/>
        <d v="2025-10-29T00:00:00"/>
        <d v="2025-12-19T00:00:00"/>
        <d v="2025-10-15T00:00:00"/>
        <d v="2025-09-21T00:00:00"/>
        <d v="2025-06-23T00:00:00"/>
        <d v="2026-02-21T00:00:00"/>
        <d v="2026-03-23T00:00:00"/>
        <d v="2025-05-11T00:00:00"/>
        <d v="2025-04-09T00:00:00"/>
        <d v="2026-03-24T00:00:00"/>
        <d v="2026-06-15T00:00:00"/>
        <d v="2025-12-15T00:00:00"/>
        <d v="2025-12-18T00:00:00"/>
        <d v="2026-03-18T00:00:00"/>
        <d v="2025-03-02T00:00:00"/>
        <d v="2025-05-07T00:00:00"/>
        <d v="2026-05-01T00:00:00"/>
        <d v="2025-12-26T00:00:00"/>
        <d v="2025-06-15T00:00:00"/>
        <d v="2025-07-10T00:00:00"/>
        <d v="2025-08-28T00:00:00"/>
        <d v="2025-11-09T00:00:00"/>
        <d v="2026-07-26T00:00:00"/>
        <d v="2025-06-27T00:00:00"/>
        <d v="2025-06-06T00:00:00"/>
        <d v="2026-04-20T00:00:00"/>
        <d v="2025-01-14T00:00:00"/>
        <d v="2025-09-08T00:00:00"/>
        <d v="2025-09-02T00:00:00"/>
        <d v="2025-07-01T00:00:00"/>
        <d v="2026-06-08T00:00:00"/>
        <d v="2025-07-16T00:00:00"/>
        <d v="2025-01-06T00:00:00"/>
        <d v="2025-09-23T00:00:00"/>
        <d v="2026-02-10T00:00:00"/>
        <d v="2025-11-02T00:00:00"/>
        <d v="2026-01-14T00:00:00"/>
        <d v="2025-02-19T00:00:00"/>
        <d v="2025-06-25T00:00:00"/>
        <d v="2025-08-21T00:00:00"/>
        <d v="2026-06-03T00:00:00"/>
        <d v="2025-09-30T00:00:00"/>
        <d v="2026-05-29T00:00:00"/>
        <d v="2025-05-16T00:00:00"/>
        <d v="2025-07-20T00:00:00"/>
        <d v="2026-06-23T00:00:00"/>
        <d v="2026-06-14T00:00:00"/>
        <d v="2025-10-22T00:00:00"/>
        <d v="2025-11-18T00:00:00"/>
        <d v="2025-11-30T00:00:00"/>
        <d v="2025-04-02T00:00:00"/>
        <d v="2025-03-17T00:00:00"/>
        <d v="2026-05-25T00:00:00"/>
        <d v="2025-07-12T00:00:00"/>
        <d v="2026-03-10T00:00:00"/>
        <d v="2025-11-01T00:00:00"/>
        <d v="2025-04-23T00:00:00"/>
        <d v="2025-07-18T00:00:00"/>
        <d v="2025-02-20T00:00:00"/>
        <d v="2026-04-27T00:00:00"/>
        <d v="2026-03-01T00:00:00"/>
        <m/>
      </sharedItems>
      <fieldGroup par="8"/>
    </cacheField>
    <cacheField name="Area" numFmtId="0">
      <sharedItems containsBlank="1" count="8">
        <s v="Mogadishu"/>
        <s v="Baidoa"/>
        <s v="Kismayo"/>
        <s v="Bosaso"/>
        <s v="Garowe"/>
        <s v="Hargeisa"/>
        <s v="non_area"/>
        <m/>
      </sharedItems>
    </cacheField>
    <cacheField name="Customer_Type" numFmtId="0">
      <sharedItems containsBlank="1"/>
    </cacheField>
    <cacheField name="Units_kWh" numFmtId="0">
      <sharedItems containsString="0" containsBlank="1" containsNumber="1" minValue="0" maxValue="10022"/>
    </cacheField>
    <cacheField name="Tariff_per_kWh" numFmtId="0">
      <sharedItems containsString="0" containsBlank="1" containsNumber="1" minValue="-10" maxValue="23"/>
    </cacheField>
    <cacheField name="Payment_Status" numFmtId="0">
      <sharedItems containsBlank="1"/>
    </cacheField>
    <cacheField name="Total Revenue" numFmtId="0">
      <sharedItems containsString="0" containsBlank="1" containsNumber="1" minValue="-5979" maxValue="1881.5039999999999"/>
    </cacheField>
    <cacheField name="Reading_Date2" numFmtId="0" databaseField="0">
      <fieldGroup base="1">
        <discretePr count="217">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MTR0001"/>
    <x v="0"/>
    <x v="0"/>
    <x v="0"/>
    <n v="379.3"/>
    <n v="0.17"/>
    <x v="0"/>
    <n v="64.481000000000009"/>
  </r>
  <r>
    <s v="MTR0002"/>
    <x v="1"/>
    <x v="1"/>
    <x v="0"/>
    <n v="466.9"/>
    <n v="0.18"/>
    <x v="0"/>
    <n v="84.041999999999987"/>
  </r>
  <r>
    <s v="MTR0003"/>
    <x v="2"/>
    <x v="1"/>
    <x v="1"/>
    <n v="1955.8"/>
    <n v="0.21"/>
    <x v="0"/>
    <n v="410.71799999999996"/>
  </r>
  <r>
    <s v="MTR0004"/>
    <x v="3"/>
    <x v="2"/>
    <x v="1"/>
    <n v="1900.5"/>
    <n v="0.23"/>
    <x v="0"/>
    <n v="437.11500000000001"/>
  </r>
  <r>
    <s v="MTR0005"/>
    <x v="4"/>
    <x v="3"/>
    <x v="1"/>
    <n v="1713.4"/>
    <n v="0.22"/>
    <x v="0"/>
    <n v="376.94800000000004"/>
  </r>
  <r>
    <s v="MTR0006"/>
    <x v="5"/>
    <x v="1"/>
    <x v="0"/>
    <n v="356.3"/>
    <n v="0.19"/>
    <x v="0"/>
    <n v="67.697000000000003"/>
  </r>
  <r>
    <s v="MTR0007"/>
    <x v="6"/>
    <x v="0"/>
    <x v="0"/>
    <n v="102.6"/>
    <n v="0.18"/>
    <x v="1"/>
    <n v="18.468"/>
  </r>
  <r>
    <s v="MTR0008"/>
    <x v="7"/>
    <x v="0"/>
    <x v="0"/>
    <n v="410.9"/>
    <n v="0.19"/>
    <x v="0"/>
    <n v="78.070999999999998"/>
  </r>
  <r>
    <s v="MTR0009"/>
    <x v="8"/>
    <x v="1"/>
    <x v="0"/>
    <n v="570.70000000000005"/>
    <n v="0.18"/>
    <x v="0"/>
    <n v="102.726"/>
  </r>
  <r>
    <s v="MTR0010"/>
    <x v="9"/>
    <x v="4"/>
    <x v="2"/>
    <n v="87"/>
    <n v="0.24"/>
    <x v="0"/>
    <n v="20.88"/>
  </r>
  <r>
    <s v="MTR0011"/>
    <x v="10"/>
    <x v="0"/>
    <x v="0"/>
    <n v="503.1"/>
    <n v="0.17"/>
    <x v="0"/>
    <n v="85.527000000000015"/>
  </r>
  <r>
    <s v="MTR0012"/>
    <x v="11"/>
    <x v="0"/>
    <x v="0"/>
    <n v="296.10000000000002"/>
    <n v="0.19"/>
    <x v="0"/>
    <n v="56.259000000000007"/>
  </r>
  <r>
    <s v="MTR0013"/>
    <x v="11"/>
    <x v="0"/>
    <x v="0"/>
    <n v="296.10000000000002"/>
    <n v="0.19"/>
    <x v="1"/>
    <n v="56.259000000000007"/>
  </r>
  <r>
    <s v="MTR0014"/>
    <x v="12"/>
    <x v="1"/>
    <x v="1"/>
    <n v="85"/>
    <n v="0.23"/>
    <x v="1"/>
    <n v="19.55"/>
  </r>
  <r>
    <s v="MTR0015"/>
    <x v="13"/>
    <x v="2"/>
    <x v="1"/>
    <n v="2125"/>
    <n v="0.22"/>
    <x v="0"/>
    <n v="467.5"/>
  </r>
  <r>
    <s v="MTR0016"/>
    <x v="14"/>
    <x v="1"/>
    <x v="0"/>
    <n v="532.1"/>
    <n v="0.18"/>
    <x v="0"/>
    <n v="95.778000000000006"/>
  </r>
  <r>
    <s v="MTR0017"/>
    <x v="15"/>
    <x v="2"/>
    <x v="1"/>
    <n v="850.9"/>
    <n v="0.22"/>
    <x v="0"/>
    <n v="187.19800000000001"/>
  </r>
  <r>
    <s v="MTR0018"/>
    <x v="16"/>
    <x v="5"/>
    <x v="0"/>
    <n v="86"/>
    <n v="0.17"/>
    <x v="0"/>
    <n v="14.620000000000001"/>
  </r>
  <r>
    <s v="MTR0019"/>
    <x v="17"/>
    <x v="1"/>
    <x v="0"/>
    <n v="1967.8"/>
    <n v="0.25"/>
    <x v="0"/>
    <n v="491.95"/>
  </r>
  <r>
    <s v="MTR0020"/>
    <x v="18"/>
    <x v="1"/>
    <x v="1"/>
    <n v="1492.5"/>
    <n v="0.22"/>
    <x v="0"/>
    <n v="328.35"/>
  </r>
  <r>
    <s v="MTR0021"/>
    <x v="19"/>
    <x v="1"/>
    <x v="0"/>
    <n v="325.89999999999998"/>
    <n v="0.17"/>
    <x v="2"/>
    <n v="55.402999999999999"/>
  </r>
  <r>
    <s v="MTR0022"/>
    <x v="19"/>
    <x v="1"/>
    <x v="0"/>
    <n v="470.3"/>
    <n v="0.18"/>
    <x v="0"/>
    <n v="84.653999999999996"/>
  </r>
  <r>
    <s v="MTR0023"/>
    <x v="20"/>
    <x v="1"/>
    <x v="1"/>
    <n v="1294.0999999999999"/>
    <n v="0.21"/>
    <x v="0"/>
    <n v="271.76099999999997"/>
  </r>
  <r>
    <s v="MTR0024"/>
    <x v="21"/>
    <x v="0"/>
    <x v="0"/>
    <n v="585.20000000000005"/>
    <n v="0.17"/>
    <x v="1"/>
    <n v="99.484000000000009"/>
  </r>
  <r>
    <s v="MTR0025"/>
    <x v="22"/>
    <x v="3"/>
    <x v="0"/>
    <n v="233.7"/>
    <n v="0.18"/>
    <x v="0"/>
    <n v="42.065999999999995"/>
  </r>
  <r>
    <s v="MTR0026"/>
    <x v="23"/>
    <x v="5"/>
    <x v="0"/>
    <n v="581.20000000000005"/>
    <n v="0.17"/>
    <x v="2"/>
    <n v="98.804000000000016"/>
  </r>
  <r>
    <s v="MTR0027"/>
    <x v="24"/>
    <x v="1"/>
    <x v="0"/>
    <n v="199.8"/>
    <n v="0.17"/>
    <x v="0"/>
    <n v="33.966000000000001"/>
  </r>
  <r>
    <s v="MTR0028"/>
    <x v="25"/>
    <x v="1"/>
    <x v="1"/>
    <n v="2003.7"/>
    <n v="0.21"/>
    <x v="0"/>
    <n v="420.77699999999999"/>
  </r>
  <r>
    <s v="MTR0029"/>
    <x v="26"/>
    <x v="4"/>
    <x v="1"/>
    <n v="693.1"/>
    <n v="0.22"/>
    <x v="0"/>
    <n v="152.482"/>
  </r>
  <r>
    <s v="MTR0030"/>
    <x v="27"/>
    <x v="4"/>
    <x v="0"/>
    <n v="247.8"/>
    <n v="0.18"/>
    <x v="0"/>
    <n v="44.603999999999999"/>
  </r>
  <r>
    <s v="MTR0031"/>
    <x v="28"/>
    <x v="0"/>
    <x v="0"/>
    <n v="206.9"/>
    <n v="0.19"/>
    <x v="2"/>
    <n v="39.311"/>
  </r>
  <r>
    <s v="MTR0032"/>
    <x v="29"/>
    <x v="2"/>
    <x v="0"/>
    <n v="508.8"/>
    <n v="0.19"/>
    <x v="0"/>
    <n v="96.671999999999997"/>
  </r>
  <r>
    <s v="MTR0033"/>
    <x v="30"/>
    <x v="1"/>
    <x v="0"/>
    <n v="327.2"/>
    <n v="0.18"/>
    <x v="2"/>
    <n v="58.895999999999994"/>
  </r>
  <r>
    <s v="MTR0034"/>
    <x v="31"/>
    <x v="1"/>
    <x v="0"/>
    <n v="93"/>
    <n v="23"/>
    <x v="0"/>
    <n v="2139"/>
  </r>
  <r>
    <s v="MTR0035"/>
    <x v="32"/>
    <x v="2"/>
    <x v="0"/>
    <n v="620.4"/>
    <n v="0.19"/>
    <x v="1"/>
    <n v="117.87599999999999"/>
  </r>
  <r>
    <s v="MTR0036"/>
    <x v="33"/>
    <x v="4"/>
    <x v="1"/>
    <n v="2118.5"/>
    <n v="0.22"/>
    <x v="0"/>
    <n v="466.07"/>
  </r>
  <r>
    <s v="MTR0037"/>
    <x v="34"/>
    <x v="1"/>
    <x v="2"/>
    <n v="528.4"/>
    <n v="0.18"/>
    <x v="0"/>
    <n v="95.111999999999995"/>
  </r>
  <r>
    <s v="MTR0038"/>
    <x v="35"/>
    <x v="0"/>
    <x v="0"/>
    <n v="184.8"/>
    <n v="0.19"/>
    <x v="0"/>
    <n v="35.112000000000002"/>
  </r>
  <r>
    <s v="MTR0039"/>
    <x v="13"/>
    <x v="1"/>
    <x v="2"/>
    <n v="6117.6"/>
    <n v="0.24"/>
    <x v="0"/>
    <n v="1468.2239999999999"/>
  </r>
  <r>
    <s v="MTR0040"/>
    <x v="36"/>
    <x v="5"/>
    <x v="2"/>
    <n v="5701.5"/>
    <n v="0.24"/>
    <x v="1"/>
    <n v="1368.36"/>
  </r>
  <r>
    <s v="MTR0041"/>
    <x v="26"/>
    <x v="0"/>
    <x v="0"/>
    <n v="277.2"/>
    <n v="0.18"/>
    <x v="1"/>
    <n v="49.895999999999994"/>
  </r>
  <r>
    <s v="MTR0042"/>
    <x v="30"/>
    <x v="3"/>
    <x v="0"/>
    <n v="91"/>
    <n v="0.19"/>
    <x v="0"/>
    <n v="17.29"/>
  </r>
  <r>
    <s v="MTR0043"/>
    <x v="37"/>
    <x v="1"/>
    <x v="0"/>
    <n v="333.2"/>
    <n v="0.17"/>
    <x v="2"/>
    <n v="56.644000000000005"/>
  </r>
  <r>
    <s v="MTR0044"/>
    <x v="3"/>
    <x v="1"/>
    <x v="0"/>
    <n v="565.70000000000005"/>
    <n v="0.17"/>
    <x v="0"/>
    <n v="96.169000000000011"/>
  </r>
  <r>
    <s v="MTR0045"/>
    <x v="38"/>
    <x v="0"/>
    <x v="0"/>
    <n v="608.1"/>
    <n v="0.18"/>
    <x v="0"/>
    <n v="109.458"/>
  </r>
  <r>
    <s v="MTR0046"/>
    <x v="14"/>
    <x v="5"/>
    <x v="1"/>
    <n v="1782"/>
    <n v="0.23"/>
    <x v="1"/>
    <n v="409.86"/>
  </r>
  <r>
    <s v="MTR0047"/>
    <x v="39"/>
    <x v="0"/>
    <x v="0"/>
    <n v="539"/>
    <n v="0.17"/>
    <x v="0"/>
    <n v="91.63000000000001"/>
  </r>
  <r>
    <s v="MTR0048"/>
    <x v="40"/>
    <x v="1"/>
    <x v="0"/>
    <n v="240"/>
    <n v="0.18"/>
    <x v="2"/>
    <n v="43.199999999999996"/>
  </r>
  <r>
    <s v="MTR0049"/>
    <x v="41"/>
    <x v="1"/>
    <x v="0"/>
    <n v="592.6"/>
    <n v="0.17"/>
    <x v="0"/>
    <n v="100.742"/>
  </r>
  <r>
    <s v="MTR0050"/>
    <x v="42"/>
    <x v="1"/>
    <x v="0"/>
    <n v="464.8"/>
    <n v="0.19"/>
    <x v="0"/>
    <n v="88.311999999999998"/>
  </r>
  <r>
    <s v="MTR0051"/>
    <x v="43"/>
    <x v="1"/>
    <x v="0"/>
    <n v="399.1"/>
    <n v="0.18"/>
    <x v="0"/>
    <n v="71.838000000000008"/>
  </r>
  <r>
    <s v="MTR0052"/>
    <x v="44"/>
    <x v="1"/>
    <x v="0"/>
    <n v="162.1"/>
    <n v="0.19"/>
    <x v="0"/>
    <n v="30.798999999999999"/>
  </r>
  <r>
    <s v="MTR0053"/>
    <x v="45"/>
    <x v="4"/>
    <x v="1"/>
    <n v="1307.3"/>
    <n v="0.22"/>
    <x v="1"/>
    <n v="287.60599999999999"/>
  </r>
  <r>
    <s v="MTR0054"/>
    <x v="30"/>
    <x v="0"/>
    <x v="1"/>
    <n v="1878.9"/>
    <n v="0.21"/>
    <x v="0"/>
    <n v="394.56900000000002"/>
  </r>
  <r>
    <s v="MTR0055"/>
    <x v="46"/>
    <x v="0"/>
    <x v="0"/>
    <n v="110.3"/>
    <n v="0.17"/>
    <x v="0"/>
    <n v="18.751000000000001"/>
  </r>
  <r>
    <s v="MTR0056"/>
    <x v="47"/>
    <x v="1"/>
    <x v="0"/>
    <n v="133.4"/>
    <n v="0.17"/>
    <x v="0"/>
    <n v="22.678000000000001"/>
  </r>
  <r>
    <s v="MTR0057"/>
    <x v="48"/>
    <x v="0"/>
    <x v="0"/>
    <n v="582.79999999999995"/>
    <n v="0.19"/>
    <x v="1"/>
    <n v="110.732"/>
  </r>
  <r>
    <s v="MTR0058"/>
    <x v="49"/>
    <x v="3"/>
    <x v="0"/>
    <n v="163"/>
    <n v="0.19"/>
    <x v="0"/>
    <n v="30.97"/>
  </r>
  <r>
    <s v="MTR0059"/>
    <x v="50"/>
    <x v="1"/>
    <x v="0"/>
    <n v="415.9"/>
    <n v="0.17"/>
    <x v="1"/>
    <n v="70.703000000000003"/>
  </r>
  <r>
    <s v="MTR0060"/>
    <x v="51"/>
    <x v="3"/>
    <x v="0"/>
    <n v="213.3"/>
    <n v="0.17"/>
    <x v="0"/>
    <n v="36.261000000000003"/>
  </r>
  <r>
    <s v="MTR0061"/>
    <x v="52"/>
    <x v="1"/>
    <x v="0"/>
    <n v="589.9"/>
    <n v="0.18"/>
    <x v="0"/>
    <n v="106.18199999999999"/>
  </r>
  <r>
    <s v="MTR0062"/>
    <x v="53"/>
    <x v="3"/>
    <x v="1"/>
    <n v="2015.9"/>
    <n v="0.23"/>
    <x v="2"/>
    <n v="463.65700000000004"/>
  </r>
  <r>
    <s v="MTR0063"/>
    <x v="53"/>
    <x v="5"/>
    <x v="0"/>
    <n v="634.5"/>
    <n v="0.19"/>
    <x v="0"/>
    <n v="120.55500000000001"/>
  </r>
  <r>
    <s v="MTR0064"/>
    <x v="54"/>
    <x v="1"/>
    <x v="1"/>
    <n v="915.9"/>
    <n v="0.23"/>
    <x v="0"/>
    <n v="210.65700000000001"/>
  </r>
  <r>
    <s v="MTR0065"/>
    <x v="55"/>
    <x v="4"/>
    <x v="0"/>
    <n v="171.9"/>
    <n v="0.18"/>
    <x v="0"/>
    <n v="30.942"/>
  </r>
  <r>
    <s v="MTR0066"/>
    <x v="56"/>
    <x v="1"/>
    <x v="0"/>
    <n v="82.9"/>
    <n v="0.17"/>
    <x v="1"/>
    <n v="14.093000000000002"/>
  </r>
  <r>
    <s v="MTR0067"/>
    <x v="57"/>
    <x v="1"/>
    <x v="2"/>
    <n v="88"/>
    <n v="0.26"/>
    <x v="0"/>
    <n v="22.880000000000003"/>
  </r>
  <r>
    <s v="MTR0068"/>
    <x v="31"/>
    <x v="1"/>
    <x v="0"/>
    <n v="285.2"/>
    <n v="0.18"/>
    <x v="0"/>
    <n v="51.335999999999999"/>
  </r>
  <r>
    <s v="MTR0069"/>
    <x v="58"/>
    <x v="4"/>
    <x v="0"/>
    <n v="167.8"/>
    <n v="0.18"/>
    <x v="0"/>
    <n v="30.204000000000001"/>
  </r>
  <r>
    <s v="MTR0070"/>
    <x v="59"/>
    <x v="1"/>
    <x v="2"/>
    <n v="5808.6"/>
    <n v="0.25"/>
    <x v="1"/>
    <n v="1452.15"/>
  </r>
  <r>
    <s v="MTR0071"/>
    <x v="60"/>
    <x v="1"/>
    <x v="0"/>
    <n v="424.7"/>
    <n v="0.17"/>
    <x v="0"/>
    <n v="72.198999999999998"/>
  </r>
  <r>
    <s v="MTR0072"/>
    <x v="61"/>
    <x v="5"/>
    <x v="0"/>
    <n v="136"/>
    <n v="0.18"/>
    <x v="1"/>
    <n v="24.48"/>
  </r>
  <r>
    <s v="MTR0073"/>
    <x v="62"/>
    <x v="1"/>
    <x v="0"/>
    <n v="372.7"/>
    <n v="0.19"/>
    <x v="1"/>
    <n v="70.813000000000002"/>
  </r>
  <r>
    <s v="MTR0074"/>
    <x v="63"/>
    <x v="2"/>
    <x v="0"/>
    <n v="318.8"/>
    <n v="0.18"/>
    <x v="0"/>
    <n v="57.384"/>
  </r>
  <r>
    <s v="MTR0075"/>
    <x v="63"/>
    <x v="2"/>
    <x v="0"/>
    <n v="318.8"/>
    <n v="0.18"/>
    <x v="0"/>
    <n v="57.384"/>
  </r>
  <r>
    <s v="MTR0076"/>
    <x v="64"/>
    <x v="5"/>
    <x v="1"/>
    <n v="745.8"/>
    <n v="0.21"/>
    <x v="1"/>
    <n v="156.61799999999999"/>
  </r>
  <r>
    <s v="MTR0077"/>
    <x v="65"/>
    <x v="0"/>
    <x v="1"/>
    <n v="2079.1"/>
    <n v="0.23"/>
    <x v="0"/>
    <n v="478.19299999999998"/>
  </r>
  <r>
    <s v="MTR0078"/>
    <x v="66"/>
    <x v="5"/>
    <x v="0"/>
    <n v="168.7"/>
    <n v="0.18"/>
    <x v="1"/>
    <n v="30.365999999999996"/>
  </r>
  <r>
    <s v="MTR0079"/>
    <x v="66"/>
    <x v="5"/>
    <x v="0"/>
    <n v="168.7"/>
    <n v="0.18"/>
    <x v="1"/>
    <n v="30.365999999999996"/>
  </r>
  <r>
    <s v="MTR0080"/>
    <x v="67"/>
    <x v="1"/>
    <x v="0"/>
    <n v="165.7"/>
    <n v="0.19"/>
    <x v="2"/>
    <n v="31.482999999999997"/>
  </r>
  <r>
    <s v="MTR0081"/>
    <x v="68"/>
    <x v="1"/>
    <x v="1"/>
    <n v="1936.9"/>
    <n v="0.22"/>
    <x v="2"/>
    <n v="426.11799999999999"/>
  </r>
  <r>
    <s v="MTR0082"/>
    <x v="69"/>
    <x v="1"/>
    <x v="0"/>
    <n v="651.29999999999995"/>
    <n v="0.23"/>
    <x v="0"/>
    <n v="149.79900000000001"/>
  </r>
  <r>
    <s v="MTR0083"/>
    <x v="18"/>
    <x v="5"/>
    <x v="0"/>
    <n v="306.89999999999998"/>
    <n v="0.19"/>
    <x v="2"/>
    <n v="58.310999999999993"/>
  </r>
  <r>
    <s v="MTR0084"/>
    <x v="70"/>
    <x v="5"/>
    <x v="0"/>
    <n v="104.5"/>
    <n v="0.19"/>
    <x v="0"/>
    <n v="19.855"/>
  </r>
  <r>
    <s v="MTR0085"/>
    <x v="71"/>
    <x v="1"/>
    <x v="2"/>
    <n v="5632.1"/>
    <n v="0.26"/>
    <x v="0"/>
    <n v="1464.3460000000002"/>
  </r>
  <r>
    <s v="MTR0086"/>
    <x v="72"/>
    <x v="5"/>
    <x v="2"/>
    <n v="6076.6"/>
    <n v="0.25"/>
    <x v="2"/>
    <n v="1519.15"/>
  </r>
  <r>
    <s v="MTR0087"/>
    <x v="73"/>
    <x v="1"/>
    <x v="1"/>
    <n v="1250.4000000000001"/>
    <n v="0.21"/>
    <x v="1"/>
    <n v="262.584"/>
  </r>
  <r>
    <s v="MTR0088"/>
    <x v="74"/>
    <x v="5"/>
    <x v="0"/>
    <n v="430.4"/>
    <n v="0.18"/>
    <x v="0"/>
    <n v="77.471999999999994"/>
  </r>
  <r>
    <s v="MTR0089"/>
    <x v="74"/>
    <x v="5"/>
    <x v="0"/>
    <n v="430.4"/>
    <n v="0.18"/>
    <x v="0"/>
    <n v="77.471999999999994"/>
  </r>
  <r>
    <s v="MTR0090"/>
    <x v="75"/>
    <x v="0"/>
    <x v="1"/>
    <n v="1472"/>
    <n v="0.22"/>
    <x v="0"/>
    <n v="323.83999999999997"/>
  </r>
  <r>
    <s v="MTR0091"/>
    <x v="76"/>
    <x v="2"/>
    <x v="0"/>
    <n v="407.1"/>
    <n v="0.18"/>
    <x v="1"/>
    <n v="73.278000000000006"/>
  </r>
  <r>
    <s v="MTR0092"/>
    <x v="77"/>
    <x v="1"/>
    <x v="0"/>
    <n v="484.9"/>
    <n v="0.19"/>
    <x v="0"/>
    <n v="92.131"/>
  </r>
  <r>
    <s v="MTR0093"/>
    <x v="78"/>
    <x v="5"/>
    <x v="0"/>
    <n v="523.5"/>
    <n v="0.18"/>
    <x v="1"/>
    <n v="94.22999999999999"/>
  </r>
  <r>
    <s v="MTR0094"/>
    <x v="79"/>
    <x v="1"/>
    <x v="0"/>
    <n v="245.6"/>
    <n v="0.18"/>
    <x v="2"/>
    <n v="44.207999999999998"/>
  </r>
  <r>
    <s v="MTR0095"/>
    <x v="80"/>
    <x v="2"/>
    <x v="1"/>
    <n v="578.20000000000005"/>
    <n v="0.23"/>
    <x v="0"/>
    <n v="132.98600000000002"/>
  </r>
  <r>
    <s v="MTR0096"/>
    <x v="81"/>
    <x v="1"/>
    <x v="0"/>
    <n v="457"/>
    <n v="0.18"/>
    <x v="2"/>
    <n v="82.259999999999991"/>
  </r>
  <r>
    <s v="MTR0097"/>
    <x v="82"/>
    <x v="1"/>
    <x v="0"/>
    <n v="96"/>
    <n v="0.18"/>
    <x v="0"/>
    <n v="17.28"/>
  </r>
  <r>
    <s v="MTR0098"/>
    <x v="83"/>
    <x v="1"/>
    <x v="2"/>
    <n v="6150.7"/>
    <n v="0.24"/>
    <x v="0"/>
    <n v="1476.1679999999999"/>
  </r>
  <r>
    <s v="MTR0099"/>
    <x v="26"/>
    <x v="4"/>
    <x v="0"/>
    <n v="141.4"/>
    <n v="0.19"/>
    <x v="0"/>
    <n v="26.866"/>
  </r>
  <r>
    <s v="MTR0100"/>
    <x v="84"/>
    <x v="1"/>
    <x v="0"/>
    <n v="373.9"/>
    <n v="0.18"/>
    <x v="1"/>
    <n v="67.301999999999992"/>
  </r>
  <r>
    <s v="MTR0101"/>
    <x v="85"/>
    <x v="1"/>
    <x v="2"/>
    <n v="4460.2"/>
    <n v="0.26"/>
    <x v="2"/>
    <n v="1159.652"/>
  </r>
  <r>
    <s v="MTR0102"/>
    <x v="86"/>
    <x v="3"/>
    <x v="0"/>
    <n v="96.7"/>
    <n v="0.18"/>
    <x v="1"/>
    <n v="17.405999999999999"/>
  </r>
  <r>
    <s v="MTR0103"/>
    <x v="87"/>
    <x v="1"/>
    <x v="0"/>
    <n v="447.4"/>
    <n v="0.18"/>
    <x v="0"/>
    <n v="80.531999999999996"/>
  </r>
  <r>
    <s v="MTR0104"/>
    <x v="11"/>
    <x v="0"/>
    <x v="0"/>
    <n v="380.2"/>
    <n v="0.18"/>
    <x v="0"/>
    <n v="68.435999999999993"/>
  </r>
  <r>
    <s v="MTR0105"/>
    <x v="88"/>
    <x v="0"/>
    <x v="0"/>
    <n v="459"/>
    <n v="0.17"/>
    <x v="0"/>
    <n v="78.03"/>
  </r>
  <r>
    <s v="MTR0106"/>
    <x v="89"/>
    <x v="2"/>
    <x v="1"/>
    <n v="1548.9"/>
    <n v="0.21"/>
    <x v="2"/>
    <n v="325.26900000000001"/>
  </r>
  <r>
    <s v="MTR0107"/>
    <x v="90"/>
    <x v="5"/>
    <x v="1"/>
    <n v="1549.2"/>
    <n v="0.21"/>
    <x v="1"/>
    <n v="325.33199999999999"/>
  </r>
  <r>
    <s v="MTR0108"/>
    <x v="91"/>
    <x v="4"/>
    <x v="0"/>
    <n v="145.19999999999999"/>
    <n v="0.18"/>
    <x v="0"/>
    <n v="26.135999999999996"/>
  </r>
  <r>
    <s v="MTR0109"/>
    <x v="92"/>
    <x v="0"/>
    <x v="1"/>
    <n v="537.70000000000005"/>
    <n v="0.17"/>
    <x v="0"/>
    <n v="91.40900000000002"/>
  </r>
  <r>
    <s v="MTR0110"/>
    <x v="93"/>
    <x v="5"/>
    <x v="0"/>
    <n v="458.8"/>
    <n v="0.17"/>
    <x v="0"/>
    <n v="77.996000000000009"/>
  </r>
  <r>
    <s v="MTR0111"/>
    <x v="94"/>
    <x v="5"/>
    <x v="0"/>
    <n v="608.29999999999995"/>
    <n v="0.17"/>
    <x v="2"/>
    <n v="103.411"/>
  </r>
  <r>
    <s v="MTR0112"/>
    <x v="95"/>
    <x v="5"/>
    <x v="0"/>
    <n v="282.10000000000002"/>
    <n v="0.18"/>
    <x v="1"/>
    <n v="50.777999999999999"/>
  </r>
  <r>
    <s v="MTR0113"/>
    <x v="96"/>
    <x v="1"/>
    <x v="0"/>
    <n v="548"/>
    <n v="0.18"/>
    <x v="0"/>
    <n v="98.64"/>
  </r>
  <r>
    <s v="MTR0114"/>
    <x v="97"/>
    <x v="0"/>
    <x v="0"/>
    <n v="598.5"/>
    <n v="0.18"/>
    <x v="0"/>
    <n v="107.72999999999999"/>
  </r>
  <r>
    <s v="MTR0115"/>
    <x v="98"/>
    <x v="0"/>
    <x v="1"/>
    <n v="766.1"/>
    <n v="0.23"/>
    <x v="0"/>
    <n v="176.203"/>
  </r>
  <r>
    <s v="MTR0116"/>
    <x v="99"/>
    <x v="1"/>
    <x v="0"/>
    <n v="396.9"/>
    <n v="0.18"/>
    <x v="1"/>
    <n v="71.441999999999993"/>
  </r>
  <r>
    <s v="MTR0117"/>
    <x v="100"/>
    <x v="4"/>
    <x v="0"/>
    <n v="425.8"/>
    <n v="0.18"/>
    <x v="1"/>
    <n v="76.644000000000005"/>
  </r>
  <r>
    <s v="MTR0118"/>
    <x v="70"/>
    <x v="1"/>
    <x v="1"/>
    <n v="685.2"/>
    <n v="0.23"/>
    <x v="2"/>
    <n v="157.596"/>
  </r>
  <r>
    <s v="MTR0119"/>
    <x v="101"/>
    <x v="1"/>
    <x v="2"/>
    <n v="2743.3"/>
    <n v="0.26"/>
    <x v="1"/>
    <n v="713.25800000000004"/>
  </r>
  <r>
    <s v="MTR0120"/>
    <x v="102"/>
    <x v="4"/>
    <x v="1"/>
    <n v="1249.2"/>
    <n v="0.22"/>
    <x v="1"/>
    <n v="274.82400000000001"/>
  </r>
  <r>
    <s v="MTR0121"/>
    <x v="68"/>
    <x v="1"/>
    <x v="0"/>
    <n v="167.2"/>
    <n v="0.19"/>
    <x v="0"/>
    <n v="31.767999999999997"/>
  </r>
  <r>
    <s v="MTR0122"/>
    <x v="103"/>
    <x v="3"/>
    <x v="0"/>
    <n v="326"/>
    <n v="0.18"/>
    <x v="0"/>
    <n v="58.68"/>
  </r>
  <r>
    <s v="MTR0123"/>
    <x v="104"/>
    <x v="4"/>
    <x v="0"/>
    <n v="186.9"/>
    <n v="0.18"/>
    <x v="0"/>
    <n v="33.642000000000003"/>
  </r>
  <r>
    <s v="MTR0124"/>
    <x v="104"/>
    <x v="4"/>
    <x v="0"/>
    <n v="186.9"/>
    <n v="0.18"/>
    <x v="0"/>
    <n v="33.642000000000003"/>
  </r>
  <r>
    <s v="MTR0125"/>
    <x v="69"/>
    <x v="0"/>
    <x v="0"/>
    <n v="181.1"/>
    <n v="0.18"/>
    <x v="0"/>
    <n v="32.597999999999999"/>
  </r>
  <r>
    <s v="MTR0126"/>
    <x v="105"/>
    <x v="1"/>
    <x v="0"/>
    <n v="95"/>
    <n v="0.18"/>
    <x v="0"/>
    <n v="17.099999999999998"/>
  </r>
  <r>
    <s v="MTR0127"/>
    <x v="106"/>
    <x v="4"/>
    <x v="0"/>
    <n v="636.20000000000005"/>
    <n v="0.18"/>
    <x v="0"/>
    <n v="114.51600000000001"/>
  </r>
  <r>
    <s v="MTR0128"/>
    <x v="107"/>
    <x v="3"/>
    <x v="0"/>
    <n v="566.79999999999995"/>
    <n v="0.19"/>
    <x v="0"/>
    <n v="107.69199999999999"/>
  </r>
  <r>
    <s v="MTR0129"/>
    <x v="39"/>
    <x v="0"/>
    <x v="0"/>
    <n v="387.3"/>
    <n v="0.17"/>
    <x v="2"/>
    <n v="65.841000000000008"/>
  </r>
  <r>
    <s v="MTR0130"/>
    <x v="108"/>
    <x v="1"/>
    <x v="0"/>
    <n v="458.8"/>
    <n v="0.18"/>
    <x v="0"/>
    <n v="82.584000000000003"/>
  </r>
  <r>
    <s v="MTR0131"/>
    <x v="109"/>
    <x v="2"/>
    <x v="0"/>
    <n v="614.70000000000005"/>
    <n v="0.18"/>
    <x v="0"/>
    <n v="110.646"/>
  </r>
  <r>
    <s v="MTR0132"/>
    <x v="110"/>
    <x v="4"/>
    <x v="0"/>
    <n v="188.2"/>
    <n v="0.18"/>
    <x v="0"/>
    <n v="33.875999999999998"/>
  </r>
  <r>
    <s v="MTR0133"/>
    <x v="32"/>
    <x v="2"/>
    <x v="1"/>
    <n v="1085.4000000000001"/>
    <n v="0.22"/>
    <x v="0"/>
    <n v="238.78800000000001"/>
  </r>
  <r>
    <s v="MTR0134"/>
    <x v="111"/>
    <x v="0"/>
    <x v="0"/>
    <n v="560.79999999999995"/>
    <n v="0.18"/>
    <x v="0"/>
    <n v="100.94399999999999"/>
  </r>
  <r>
    <s v="MTR0135"/>
    <x v="112"/>
    <x v="1"/>
    <x v="1"/>
    <n v="1428"/>
    <n v="0.22"/>
    <x v="2"/>
    <n v="314.16000000000003"/>
  </r>
  <r>
    <s v="MTR0136"/>
    <x v="113"/>
    <x v="2"/>
    <x v="0"/>
    <n v="311.7"/>
    <n v="0.18"/>
    <x v="0"/>
    <n v="56.105999999999995"/>
  </r>
  <r>
    <s v="MTR0137"/>
    <x v="114"/>
    <x v="5"/>
    <x v="0"/>
    <n v="184.6"/>
    <n v="0.18"/>
    <x v="0"/>
    <n v="33.227999999999994"/>
  </r>
  <r>
    <s v="MTR0138"/>
    <x v="115"/>
    <x v="1"/>
    <x v="0"/>
    <n v="475"/>
    <n v="0.18"/>
    <x v="0"/>
    <n v="85.5"/>
  </r>
  <r>
    <s v="MTR0139"/>
    <x v="116"/>
    <x v="1"/>
    <x v="1"/>
    <n v="1831.7"/>
    <n v="0.17"/>
    <x v="0"/>
    <n v="311.38900000000001"/>
  </r>
  <r>
    <s v="MTR0140"/>
    <x v="100"/>
    <x v="1"/>
    <x v="1"/>
    <n v="1869.4"/>
    <n v="0.23"/>
    <x v="0"/>
    <n v="429.96200000000005"/>
  </r>
  <r>
    <s v="MTR0141"/>
    <x v="117"/>
    <x v="0"/>
    <x v="1"/>
    <n v="84"/>
    <n v="0.21"/>
    <x v="0"/>
    <n v="17.64"/>
  </r>
  <r>
    <s v="MTR0142"/>
    <x v="118"/>
    <x v="0"/>
    <x v="1"/>
    <n v="496.2"/>
    <n v="0.21"/>
    <x v="1"/>
    <n v="104.202"/>
  </r>
  <r>
    <s v="MTR0143"/>
    <x v="119"/>
    <x v="5"/>
    <x v="0"/>
    <n v="189.1"/>
    <n v="0.18"/>
    <x v="1"/>
    <n v="34.037999999999997"/>
  </r>
  <r>
    <s v="MTR0144"/>
    <x v="114"/>
    <x v="2"/>
    <x v="0"/>
    <n v="153.5"/>
    <n v="0.18"/>
    <x v="0"/>
    <n v="27.63"/>
  </r>
  <r>
    <s v="MTR0145"/>
    <x v="120"/>
    <x v="5"/>
    <x v="0"/>
    <n v="434.2"/>
    <n v="0.18"/>
    <x v="1"/>
    <n v="78.155999999999992"/>
  </r>
  <r>
    <s v="MTR0146"/>
    <x v="121"/>
    <x v="5"/>
    <x v="1"/>
    <n v="1768.6"/>
    <n v="0.22"/>
    <x v="1"/>
    <n v="389.09199999999998"/>
  </r>
  <r>
    <s v="MTR0147"/>
    <x v="122"/>
    <x v="4"/>
    <x v="1"/>
    <n v="1984.8"/>
    <n v="0.22"/>
    <x v="0"/>
    <n v="436.65600000000001"/>
  </r>
  <r>
    <s v="MTR0148"/>
    <x v="123"/>
    <x v="2"/>
    <x v="0"/>
    <n v="356.3"/>
    <n v="0.19"/>
    <x v="1"/>
    <n v="67.697000000000003"/>
  </r>
  <r>
    <s v="MTR0149"/>
    <x v="124"/>
    <x v="3"/>
    <x v="0"/>
    <n v="329.7"/>
    <n v="0.18"/>
    <x v="0"/>
    <n v="59.345999999999997"/>
  </r>
  <r>
    <s v="MTR0150"/>
    <x v="124"/>
    <x v="3"/>
    <x v="0"/>
    <n v="329.7"/>
    <n v="0.18"/>
    <x v="0"/>
    <n v="59.345999999999997"/>
  </r>
  <r>
    <s v="MTR0151"/>
    <x v="125"/>
    <x v="0"/>
    <x v="0"/>
    <n v="570.9"/>
    <n v="0.18"/>
    <x v="2"/>
    <n v="102.76199999999999"/>
  </r>
  <r>
    <s v="MTR0152"/>
    <x v="126"/>
    <x v="1"/>
    <x v="0"/>
    <n v="2133.9"/>
    <n v="0.23"/>
    <x v="0"/>
    <n v="490.79700000000003"/>
  </r>
  <r>
    <s v="MTR0153"/>
    <x v="86"/>
    <x v="0"/>
    <x v="0"/>
    <n v="624.70000000000005"/>
    <n v="0.18"/>
    <x v="1"/>
    <n v="112.446"/>
  </r>
  <r>
    <s v="MTR0154"/>
    <x v="127"/>
    <x v="1"/>
    <x v="0"/>
    <n v="84.6"/>
    <n v="0.17"/>
    <x v="1"/>
    <n v="14.382"/>
  </r>
  <r>
    <s v="MTR0155"/>
    <x v="128"/>
    <x v="4"/>
    <x v="1"/>
    <n v="82"/>
    <n v="0.23"/>
    <x v="1"/>
    <n v="18.86"/>
  </r>
  <r>
    <s v="MTR0156"/>
    <x v="129"/>
    <x v="1"/>
    <x v="2"/>
    <n v="3613.8"/>
    <n v="0.26"/>
    <x v="2"/>
    <n v="939.58800000000008"/>
  </r>
  <r>
    <s v="MTR0157"/>
    <x v="130"/>
    <x v="0"/>
    <x v="1"/>
    <n v="1150.9000000000001"/>
    <n v="0.21"/>
    <x v="0"/>
    <n v="241.68900000000002"/>
  </r>
  <r>
    <s v="MTR0158"/>
    <x v="131"/>
    <x v="2"/>
    <x v="0"/>
    <n v="625.5"/>
    <n v="0.18"/>
    <x v="0"/>
    <n v="112.58999999999999"/>
  </r>
  <r>
    <s v="MTR0159"/>
    <x v="116"/>
    <x v="2"/>
    <x v="0"/>
    <n v="337.8"/>
    <n v="0.18"/>
    <x v="1"/>
    <n v="60.804000000000002"/>
  </r>
  <r>
    <s v="MTR0160"/>
    <x v="132"/>
    <x v="1"/>
    <x v="2"/>
    <n v="6470.2"/>
    <n v="0.26"/>
    <x v="0"/>
    <n v="1682.252"/>
  </r>
  <r>
    <s v="MTR0161"/>
    <x v="133"/>
    <x v="1"/>
    <x v="1"/>
    <n v="1769.6"/>
    <n v="0.23"/>
    <x v="0"/>
    <n v="407.00799999999998"/>
  </r>
  <r>
    <s v="MTR0162"/>
    <x v="134"/>
    <x v="1"/>
    <x v="1"/>
    <n v="86"/>
    <n v="0.22"/>
    <x v="1"/>
    <n v="18.920000000000002"/>
  </r>
  <r>
    <s v="MTR0163"/>
    <x v="115"/>
    <x v="1"/>
    <x v="0"/>
    <n v="476"/>
    <n v="0.18"/>
    <x v="0"/>
    <n v="85.679999999999993"/>
  </r>
  <r>
    <s v="MTR0164"/>
    <x v="135"/>
    <x v="3"/>
    <x v="1"/>
    <n v="1260.0999999999999"/>
    <n v="0.22"/>
    <x v="1"/>
    <n v="277.22199999999998"/>
  </r>
  <r>
    <s v="MTR0165"/>
    <x v="136"/>
    <x v="4"/>
    <x v="0"/>
    <n v="1907.7"/>
    <n v="0.26"/>
    <x v="0"/>
    <n v="496.00200000000001"/>
  </r>
  <r>
    <s v="MTR0166"/>
    <x v="137"/>
    <x v="2"/>
    <x v="0"/>
    <n v="339.4"/>
    <n v="0.19"/>
    <x v="2"/>
    <n v="64.48599999999999"/>
  </r>
  <r>
    <s v="MTR0167"/>
    <x v="138"/>
    <x v="3"/>
    <x v="0"/>
    <n v="211.5"/>
    <n v="0.18"/>
    <x v="1"/>
    <n v="38.07"/>
  </r>
  <r>
    <s v="MTR0168"/>
    <x v="139"/>
    <x v="0"/>
    <x v="0"/>
    <n v="153.9"/>
    <n v="0.18"/>
    <x v="0"/>
    <n v="27.702000000000002"/>
  </r>
  <r>
    <s v="MTR0169"/>
    <x v="140"/>
    <x v="1"/>
    <x v="0"/>
    <n v="217.6"/>
    <n v="0.18"/>
    <x v="0"/>
    <n v="39.167999999999999"/>
  </r>
  <r>
    <s v="MTR0170"/>
    <x v="141"/>
    <x v="0"/>
    <x v="0"/>
    <n v="540.5"/>
    <n v="0.18"/>
    <x v="1"/>
    <n v="97.289999999999992"/>
  </r>
  <r>
    <s v="MTR0171"/>
    <x v="142"/>
    <x v="1"/>
    <x v="0"/>
    <n v="349.4"/>
    <n v="0.18"/>
    <x v="0"/>
    <n v="62.891999999999996"/>
  </r>
  <r>
    <s v="MTR0172"/>
    <x v="143"/>
    <x v="4"/>
    <x v="0"/>
    <n v="212.1"/>
    <n v="0.19"/>
    <x v="0"/>
    <n v="40.298999999999999"/>
  </r>
  <r>
    <s v="MTR0173"/>
    <x v="127"/>
    <x v="4"/>
    <x v="0"/>
    <n v="273.3"/>
    <n v="0.18"/>
    <x v="1"/>
    <n v="49.194000000000003"/>
  </r>
  <r>
    <s v="MTR0174"/>
    <x v="144"/>
    <x v="5"/>
    <x v="0"/>
    <n v="427.8"/>
    <n v="0.17"/>
    <x v="0"/>
    <n v="72.726000000000013"/>
  </r>
  <r>
    <s v="MTR0175"/>
    <x v="29"/>
    <x v="3"/>
    <x v="0"/>
    <n v="465.1"/>
    <n v="0.18"/>
    <x v="0"/>
    <n v="83.718000000000004"/>
  </r>
  <r>
    <s v="MTR0176"/>
    <x v="145"/>
    <x v="0"/>
    <x v="0"/>
    <n v="606"/>
    <n v="0.19"/>
    <x v="0"/>
    <n v="115.14"/>
  </r>
  <r>
    <s v="MTR0177"/>
    <x v="131"/>
    <x v="1"/>
    <x v="1"/>
    <n v="1411.3"/>
    <n v="0.22"/>
    <x v="0"/>
    <n v="310.48599999999999"/>
  </r>
  <r>
    <s v="MTR0178"/>
    <x v="146"/>
    <x v="1"/>
    <x v="1"/>
    <n v="1919.3"/>
    <n v="0.22"/>
    <x v="0"/>
    <n v="422.24599999999998"/>
  </r>
  <r>
    <s v="MTR0179"/>
    <x v="147"/>
    <x v="4"/>
    <x v="0"/>
    <n v="493.3"/>
    <n v="0.18"/>
    <x v="1"/>
    <n v="88.793999999999997"/>
  </r>
  <r>
    <s v="MTR0180"/>
    <x v="148"/>
    <x v="2"/>
    <x v="0"/>
    <n v="643.4"/>
    <n v="0.18"/>
    <x v="0"/>
    <n v="115.812"/>
  </r>
  <r>
    <s v="MTR0181"/>
    <x v="149"/>
    <x v="1"/>
    <x v="0"/>
    <n v="263.10000000000002"/>
    <n v="0.19"/>
    <x v="0"/>
    <n v="49.989000000000004"/>
  </r>
  <r>
    <s v="MTR0182"/>
    <x v="150"/>
    <x v="3"/>
    <x v="0"/>
    <n v="297.3"/>
    <n v="0.19"/>
    <x v="0"/>
    <n v="56.487000000000002"/>
  </r>
  <r>
    <s v="MTR0183"/>
    <x v="151"/>
    <x v="1"/>
    <x v="0"/>
    <n v="326"/>
    <n v="0.17"/>
    <x v="1"/>
    <n v="55.42"/>
  </r>
  <r>
    <s v="MTR0184"/>
    <x v="152"/>
    <x v="3"/>
    <x v="0"/>
    <n v="90"/>
    <n v="0.18"/>
    <x v="0"/>
    <n v="16.2"/>
  </r>
  <r>
    <s v="MTR0185"/>
    <x v="153"/>
    <x v="1"/>
    <x v="1"/>
    <n v="1200.8"/>
    <n v="0.22"/>
    <x v="0"/>
    <n v="264.17599999999999"/>
  </r>
  <r>
    <s v="MTR0186"/>
    <x v="154"/>
    <x v="4"/>
    <x v="0"/>
    <n v="535.29999999999995"/>
    <n v="0.18"/>
    <x v="0"/>
    <n v="96.353999999999985"/>
  </r>
  <r>
    <s v="MTR0187"/>
    <x v="155"/>
    <x v="1"/>
    <x v="0"/>
    <n v="246.5"/>
    <n v="0.17"/>
    <x v="2"/>
    <n v="41.905000000000001"/>
  </r>
  <r>
    <s v="MTR0188"/>
    <x v="96"/>
    <x v="0"/>
    <x v="0"/>
    <n v="600.29999999999995"/>
    <n v="0.18"/>
    <x v="0"/>
    <n v="108.05399999999999"/>
  </r>
  <r>
    <s v="MTR0189"/>
    <x v="156"/>
    <x v="4"/>
    <x v="2"/>
    <n v="4182.5"/>
    <n v="0.26"/>
    <x v="0"/>
    <n v="1087.45"/>
  </r>
  <r>
    <s v="MTR0190"/>
    <x v="157"/>
    <x v="0"/>
    <x v="2"/>
    <n v="1836.8"/>
    <n v="0.25"/>
    <x v="2"/>
    <n v="459.2"/>
  </r>
  <r>
    <s v="MTR0191"/>
    <x v="158"/>
    <x v="4"/>
    <x v="0"/>
    <n v="98.7"/>
    <n v="0.18"/>
    <x v="1"/>
    <n v="17.765999999999998"/>
  </r>
  <r>
    <s v="MTR0192"/>
    <x v="159"/>
    <x v="1"/>
    <x v="0"/>
    <n v="274.7"/>
    <n v="0.17"/>
    <x v="0"/>
    <n v="46.698999999999998"/>
  </r>
  <r>
    <s v="MTR0193"/>
    <x v="160"/>
    <x v="4"/>
    <x v="1"/>
    <n v="941.9"/>
    <n v="0.22"/>
    <x v="0"/>
    <n v="207.21799999999999"/>
  </r>
  <r>
    <s v="MTR0194"/>
    <x v="161"/>
    <x v="4"/>
    <x v="0"/>
    <n v="243.9"/>
    <n v="0.17"/>
    <x v="0"/>
    <n v="41.463000000000001"/>
  </r>
  <r>
    <s v="MTR0195"/>
    <x v="162"/>
    <x v="2"/>
    <x v="0"/>
    <n v="10022"/>
    <n v="0.19"/>
    <x v="0"/>
    <n v="1904.18"/>
  </r>
  <r>
    <s v="MTR0196"/>
    <x v="163"/>
    <x v="0"/>
    <x v="1"/>
    <n v="1065.7"/>
    <n v="0.23"/>
    <x v="2"/>
    <n v="245.11100000000002"/>
  </r>
  <r>
    <s v="MTR0197"/>
    <x v="164"/>
    <x v="1"/>
    <x v="0"/>
    <n v="349.7"/>
    <n v="0.18"/>
    <x v="1"/>
    <n v="62.945999999999998"/>
  </r>
  <r>
    <s v="MTR0198"/>
    <x v="135"/>
    <x v="3"/>
    <x v="0"/>
    <n v="183.7"/>
    <n v="0.18"/>
    <x v="1"/>
    <n v="33.065999999999995"/>
  </r>
  <r>
    <s v="MTR0199"/>
    <x v="28"/>
    <x v="1"/>
    <x v="1"/>
    <n v="1915.3"/>
    <n v="0.22"/>
    <x v="0"/>
    <n v="421.36599999999999"/>
  </r>
  <r>
    <s v="MTR0200"/>
    <x v="165"/>
    <x v="1"/>
    <x v="1"/>
    <n v="1433.7"/>
    <n v="0.22"/>
    <x v="0"/>
    <n v="315.41399999999999"/>
  </r>
  <r>
    <s v="MTR0201"/>
    <x v="166"/>
    <x v="4"/>
    <x v="0"/>
    <n v="89"/>
    <n v="0.19"/>
    <x v="0"/>
    <n v="16.91"/>
  </r>
  <r>
    <s v="MTR0202"/>
    <x v="147"/>
    <x v="4"/>
    <x v="0"/>
    <n v="374.3"/>
    <n v="0.19"/>
    <x v="1"/>
    <n v="71.117000000000004"/>
  </r>
  <r>
    <s v="MTR0203"/>
    <x v="167"/>
    <x v="0"/>
    <x v="0"/>
    <n v="163.4"/>
    <n v="0.18"/>
    <x v="1"/>
    <n v="29.411999999999999"/>
  </r>
  <r>
    <s v="MTR0204"/>
    <x v="106"/>
    <x v="4"/>
    <x v="0"/>
    <n v="205"/>
    <n v="0.18"/>
    <x v="0"/>
    <n v="36.9"/>
  </r>
  <r>
    <s v="MTR0205"/>
    <x v="168"/>
    <x v="4"/>
    <x v="1"/>
    <n v="2025.6"/>
    <n v="0.22"/>
    <x v="2"/>
    <n v="445.63200000000001"/>
  </r>
  <r>
    <s v="MTR0206"/>
    <x v="169"/>
    <x v="4"/>
    <x v="0"/>
    <n v="543.79999999999995"/>
    <n v="0.18"/>
    <x v="2"/>
    <n v="97.883999999999986"/>
  </r>
  <r>
    <s v="MTR0207"/>
    <x v="170"/>
    <x v="3"/>
    <x v="0"/>
    <n v="625.79999999999995"/>
    <n v="0.19"/>
    <x v="0"/>
    <n v="118.90199999999999"/>
  </r>
  <r>
    <s v="MTR0208"/>
    <x v="171"/>
    <x v="1"/>
    <x v="1"/>
    <n v="818.9"/>
    <n v="0.21"/>
    <x v="0"/>
    <n v="171.96899999999999"/>
  </r>
  <r>
    <s v="MTR0209"/>
    <x v="172"/>
    <x v="1"/>
    <x v="0"/>
    <n v="359.6"/>
    <n v="0.18"/>
    <x v="0"/>
    <n v="64.728000000000009"/>
  </r>
  <r>
    <s v="MTR0210"/>
    <x v="173"/>
    <x v="1"/>
    <x v="1"/>
    <n v="2187.8000000000002"/>
    <n v="0.17"/>
    <x v="0"/>
    <n v="371.92600000000004"/>
  </r>
  <r>
    <s v="MTR0211"/>
    <x v="174"/>
    <x v="1"/>
    <x v="0"/>
    <n v="635"/>
    <n v="0.18"/>
    <x v="1"/>
    <n v="114.3"/>
  </r>
  <r>
    <s v="MTR0212"/>
    <x v="175"/>
    <x v="3"/>
    <x v="0"/>
    <n v="344.5"/>
    <n v="0.18"/>
    <x v="0"/>
    <n v="62.01"/>
  </r>
  <r>
    <s v="MTR0213"/>
    <x v="18"/>
    <x v="5"/>
    <x v="2"/>
    <n v="6478.7"/>
    <n v="0.26"/>
    <x v="0"/>
    <n v="1684.462"/>
  </r>
  <r>
    <s v="MTR0214"/>
    <x v="176"/>
    <x v="2"/>
    <x v="0"/>
    <n v="444.8"/>
    <n v="0.19"/>
    <x v="0"/>
    <n v="84.512"/>
  </r>
  <r>
    <s v="MTR0215"/>
    <x v="59"/>
    <x v="1"/>
    <x v="1"/>
    <n v="1522.7"/>
    <n v="0.22"/>
    <x v="1"/>
    <n v="334.99400000000003"/>
  </r>
  <r>
    <s v="MTR0216"/>
    <x v="177"/>
    <x v="1"/>
    <x v="0"/>
    <n v="540.79999999999995"/>
    <n v="0.18"/>
    <x v="0"/>
    <n v="97.343999999999994"/>
  </r>
  <r>
    <s v="MTR0217"/>
    <x v="178"/>
    <x v="5"/>
    <x v="1"/>
    <n v="919.4"/>
    <n v="0.17"/>
    <x v="2"/>
    <n v="156.298"/>
  </r>
  <r>
    <s v="MTR0218"/>
    <x v="179"/>
    <x v="0"/>
    <x v="0"/>
    <n v="563.20000000000005"/>
    <n v="0.24"/>
    <x v="0"/>
    <n v="135.16800000000001"/>
  </r>
  <r>
    <s v="MTR0219"/>
    <x v="119"/>
    <x v="1"/>
    <x v="1"/>
    <n v="545.5"/>
    <n v="0.23"/>
    <x v="0"/>
    <n v="125.465"/>
  </r>
  <r>
    <s v="MTR0220"/>
    <x v="180"/>
    <x v="5"/>
    <x v="0"/>
    <n v="597.29999999999995"/>
    <n v="0.17"/>
    <x v="0"/>
    <n v="101.541"/>
  </r>
  <r>
    <s v="MTR0221"/>
    <x v="143"/>
    <x v="1"/>
    <x v="0"/>
    <n v="83.4"/>
    <n v="0.19"/>
    <x v="0"/>
    <n v="15.846000000000002"/>
  </r>
  <r>
    <s v="MTR0222"/>
    <x v="181"/>
    <x v="0"/>
    <x v="1"/>
    <n v="2109.5"/>
    <n v="0.23"/>
    <x v="1"/>
    <n v="485.185"/>
  </r>
  <r>
    <s v="MTR0223"/>
    <x v="182"/>
    <x v="1"/>
    <x v="0"/>
    <n v="94"/>
    <n v="0.19"/>
    <x v="0"/>
    <n v="17.86"/>
  </r>
  <r>
    <s v="MTR0224"/>
    <x v="183"/>
    <x v="1"/>
    <x v="0"/>
    <n v="392.9"/>
    <n v="0.19"/>
    <x v="0"/>
    <n v="74.650999999999996"/>
  </r>
  <r>
    <s v="MTR0225"/>
    <x v="31"/>
    <x v="1"/>
    <x v="0"/>
    <n v="431.7"/>
    <n v="0.18"/>
    <x v="0"/>
    <n v="77.705999999999989"/>
  </r>
  <r>
    <s v="MTR0226"/>
    <x v="184"/>
    <x v="1"/>
    <x v="1"/>
    <n v="539"/>
    <n v="0.22"/>
    <x v="0"/>
    <n v="118.58"/>
  </r>
  <r>
    <s v="MTR0227"/>
    <x v="142"/>
    <x v="2"/>
    <x v="1"/>
    <n v="1820.1"/>
    <n v="0.17"/>
    <x v="1"/>
    <n v="309.41700000000003"/>
  </r>
  <r>
    <s v="MTR0228"/>
    <x v="33"/>
    <x v="2"/>
    <x v="0"/>
    <n v="173.2"/>
    <n v="0.17"/>
    <x v="0"/>
    <n v="29.443999999999999"/>
  </r>
  <r>
    <s v="MTR0229"/>
    <x v="185"/>
    <x v="0"/>
    <x v="1"/>
    <n v="1162.3"/>
    <n v="0.22"/>
    <x v="0"/>
    <n v="255.70599999999999"/>
  </r>
  <r>
    <s v="MTR0230"/>
    <x v="152"/>
    <x v="2"/>
    <x v="0"/>
    <n v="81"/>
    <n v="0.18"/>
    <x v="1"/>
    <n v="14.58"/>
  </r>
  <r>
    <s v="MTR0231"/>
    <x v="115"/>
    <x v="4"/>
    <x v="0"/>
    <n v="257"/>
    <n v="0.17"/>
    <x v="0"/>
    <n v="43.690000000000005"/>
  </r>
  <r>
    <s v="MTR0232"/>
    <x v="98"/>
    <x v="1"/>
    <x v="0"/>
    <n v="2073.9"/>
    <n v="0.22"/>
    <x v="0"/>
    <n v="456.25800000000004"/>
  </r>
  <r>
    <s v="MTR0233"/>
    <x v="136"/>
    <x v="1"/>
    <x v="0"/>
    <n v="100.5"/>
    <n v="0.19"/>
    <x v="0"/>
    <n v="19.094999999999999"/>
  </r>
  <r>
    <s v="MTR0234"/>
    <x v="147"/>
    <x v="3"/>
    <x v="0"/>
    <n v="231.8"/>
    <n v="0.17"/>
    <x v="0"/>
    <n v="39.406000000000006"/>
  </r>
  <r>
    <s v="MTR0235"/>
    <x v="157"/>
    <x v="1"/>
    <x v="1"/>
    <n v="405.1"/>
    <n v="0.22"/>
    <x v="1"/>
    <n v="89.122"/>
  </r>
  <r>
    <s v="MTR0236"/>
    <x v="33"/>
    <x v="0"/>
    <x v="1"/>
    <n v="994.4"/>
    <n v="0.22"/>
    <x v="0"/>
    <n v="218.768"/>
  </r>
  <r>
    <s v="MTR0237"/>
    <x v="113"/>
    <x v="1"/>
    <x v="0"/>
    <n v="133.69999999999999"/>
    <n v="0.19"/>
    <x v="0"/>
    <n v="25.402999999999999"/>
  </r>
  <r>
    <s v="MTR0238"/>
    <x v="132"/>
    <x v="3"/>
    <x v="0"/>
    <n v="640.70000000000005"/>
    <n v="0.17"/>
    <x v="1"/>
    <n v="108.91900000000001"/>
  </r>
  <r>
    <s v="MTR0239"/>
    <x v="186"/>
    <x v="2"/>
    <x v="1"/>
    <n v="2009.8"/>
    <n v="0.23"/>
    <x v="0"/>
    <n v="462.25400000000002"/>
  </r>
  <r>
    <s v="MTR0240"/>
    <x v="49"/>
    <x v="2"/>
    <x v="0"/>
    <n v="510.9"/>
    <n v="0.18"/>
    <x v="1"/>
    <n v="91.961999999999989"/>
  </r>
  <r>
    <s v="MTR0241"/>
    <x v="187"/>
    <x v="1"/>
    <x v="0"/>
    <n v="528.20000000000005"/>
    <n v="0.17"/>
    <x v="2"/>
    <n v="89.794000000000011"/>
  </r>
  <r>
    <s v="MTR0242"/>
    <x v="188"/>
    <x v="0"/>
    <x v="2"/>
    <n v="6253.8"/>
    <n v="0.26"/>
    <x v="0"/>
    <n v="1625.9880000000001"/>
  </r>
  <r>
    <s v="MTR0243"/>
    <x v="188"/>
    <x v="0"/>
    <x v="2"/>
    <n v="6253.8"/>
    <n v="0.26"/>
    <x v="0"/>
    <n v="1625.9880000000001"/>
  </r>
  <r>
    <s v="MTR0244"/>
    <x v="189"/>
    <x v="1"/>
    <x v="0"/>
    <n v="126.2"/>
    <n v="0.18"/>
    <x v="0"/>
    <n v="22.716000000000001"/>
  </r>
  <r>
    <s v="MTR0245"/>
    <x v="64"/>
    <x v="0"/>
    <x v="0"/>
    <n v="597.9"/>
    <n v="0.18099999999999999"/>
    <x v="0"/>
    <n v="108.2199"/>
  </r>
  <r>
    <s v="MTR0246"/>
    <x v="180"/>
    <x v="5"/>
    <x v="0"/>
    <n v="592.70000000000005"/>
    <n v="0.18"/>
    <x v="0"/>
    <n v="106.68600000000001"/>
  </r>
  <r>
    <s v="MTR0247"/>
    <x v="190"/>
    <x v="1"/>
    <x v="0"/>
    <n v="166.7"/>
    <n v="0.17"/>
    <x v="0"/>
    <n v="28.338999999999999"/>
  </r>
  <r>
    <s v="MTR0248"/>
    <x v="191"/>
    <x v="0"/>
    <x v="0"/>
    <n v="144.4"/>
    <n v="0.18"/>
    <x v="1"/>
    <n v="25.992000000000001"/>
  </r>
  <r>
    <s v="MTR0249"/>
    <x v="192"/>
    <x v="3"/>
    <x v="0"/>
    <n v="3446.1"/>
    <n v="0.25"/>
    <x v="2"/>
    <n v="861.52499999999998"/>
  </r>
  <r>
    <s v="MTR0250"/>
    <x v="132"/>
    <x v="5"/>
    <x v="0"/>
    <n v="699.7"/>
    <n v="0.22"/>
    <x v="1"/>
    <n v="153.934"/>
  </r>
  <r>
    <s v="MTR0251"/>
    <x v="193"/>
    <x v="0"/>
    <x v="0"/>
    <n v="322.7"/>
    <n v="0.18"/>
    <x v="0"/>
    <n v="58.085999999999999"/>
  </r>
  <r>
    <s v="MTR0252"/>
    <x v="194"/>
    <x v="1"/>
    <x v="1"/>
    <n v="498.5"/>
    <n v="0.23"/>
    <x v="1"/>
    <n v="114.655"/>
  </r>
  <r>
    <s v="MTR0253"/>
    <x v="195"/>
    <x v="3"/>
    <x v="1"/>
    <n v="1789.7"/>
    <n v="0.17"/>
    <x v="0"/>
    <n v="304.24900000000002"/>
  </r>
  <r>
    <s v="MTR0254"/>
    <x v="196"/>
    <x v="1"/>
    <x v="0"/>
    <n v="579.6"/>
    <n v="0.17"/>
    <x v="1"/>
    <n v="98.532000000000011"/>
  </r>
  <r>
    <s v="MTR0255"/>
    <x v="197"/>
    <x v="0"/>
    <x v="1"/>
    <n v="83"/>
    <n v="0.22"/>
    <x v="0"/>
    <n v="18.260000000000002"/>
  </r>
  <r>
    <s v="MTR0256"/>
    <x v="163"/>
    <x v="4"/>
    <x v="1"/>
    <n v="995.1"/>
    <n v="0.22"/>
    <x v="1"/>
    <n v="218.922"/>
  </r>
  <r>
    <s v="MTR0257"/>
    <x v="84"/>
    <x v="4"/>
    <x v="0"/>
    <n v="191.2"/>
    <n v="0.18"/>
    <x v="0"/>
    <n v="34.415999999999997"/>
  </r>
  <r>
    <s v="MTR0258"/>
    <x v="198"/>
    <x v="0"/>
    <x v="1"/>
    <n v="977.5"/>
    <n v="0.21"/>
    <x v="0"/>
    <n v="205.27500000000001"/>
  </r>
  <r>
    <s v="MTR0259"/>
    <x v="199"/>
    <x v="1"/>
    <x v="1"/>
    <n v="1052"/>
    <n v="0.17"/>
    <x v="1"/>
    <n v="178.84"/>
  </r>
  <r>
    <s v="MTR0260"/>
    <x v="154"/>
    <x v="3"/>
    <x v="0"/>
    <n v="10008"/>
    <n v="0.19"/>
    <x v="0"/>
    <n v="1901.52"/>
  </r>
  <r>
    <s v="MTR0261"/>
    <x v="14"/>
    <x v="2"/>
    <x v="0"/>
    <n v="117.1"/>
    <n v="0.18"/>
    <x v="1"/>
    <n v="21.077999999999999"/>
  </r>
  <r>
    <s v="MTR0262"/>
    <x v="200"/>
    <x v="1"/>
    <x v="0"/>
    <n v="176.2"/>
    <n v="0.19"/>
    <x v="1"/>
    <n v="33.478000000000002"/>
  </r>
  <r>
    <s v="MTR0263"/>
    <x v="201"/>
    <x v="5"/>
    <x v="1"/>
    <n v="855.8"/>
    <n v="0.21"/>
    <x v="0"/>
    <n v="179.71799999999999"/>
  </r>
  <r>
    <s v="MTR0264"/>
    <x v="202"/>
    <x v="0"/>
    <x v="1"/>
    <n v="1920"/>
    <n v="0.22"/>
    <x v="0"/>
    <n v="422.4"/>
  </r>
  <r>
    <s v="MTR0265"/>
    <x v="203"/>
    <x v="3"/>
    <x v="0"/>
    <n v="112.4"/>
    <n v="0.17"/>
    <x v="0"/>
    <n v="19.108000000000004"/>
  </r>
  <r>
    <s v="MTR0266"/>
    <x v="204"/>
    <x v="0"/>
    <x v="1"/>
    <n v="1036"/>
    <n v="0.21"/>
    <x v="0"/>
    <n v="217.56"/>
  </r>
  <r>
    <s v="MTR0267"/>
    <x v="205"/>
    <x v="1"/>
    <x v="0"/>
    <n v="341.3"/>
    <n v="0.18"/>
    <x v="0"/>
    <n v="61.433999999999997"/>
  </r>
  <r>
    <s v="MTR0268"/>
    <x v="206"/>
    <x v="1"/>
    <x v="2"/>
    <n v="5871.2"/>
    <n v="0.25"/>
    <x v="1"/>
    <n v="1467.8"/>
  </r>
  <r>
    <s v="MTR0269"/>
    <x v="68"/>
    <x v="4"/>
    <x v="0"/>
    <n v="361.5"/>
    <n v="0.18"/>
    <x v="1"/>
    <n v="65.069999999999993"/>
  </r>
  <r>
    <s v="MTR0270"/>
    <x v="207"/>
    <x v="2"/>
    <x v="0"/>
    <n v="295.60000000000002"/>
    <n v="0.18"/>
    <x v="0"/>
    <n v="53.208000000000006"/>
  </r>
  <r>
    <s v="MTR0271"/>
    <x v="5"/>
    <x v="1"/>
    <x v="0"/>
    <n v="563.29999999999995"/>
    <n v="0.18"/>
    <x v="0"/>
    <n v="101.39399999999999"/>
  </r>
  <r>
    <s v="MTR0272"/>
    <x v="208"/>
    <x v="1"/>
    <x v="0"/>
    <n v="268.3"/>
    <n v="0.18"/>
    <x v="2"/>
    <n v="48.293999999999997"/>
  </r>
  <r>
    <s v="MTR0273"/>
    <x v="208"/>
    <x v="1"/>
    <x v="0"/>
    <n v="268.3"/>
    <n v="0.18"/>
    <x v="2"/>
    <n v="48.293999999999997"/>
  </r>
  <r>
    <s v="MTR0274"/>
    <x v="209"/>
    <x v="5"/>
    <x v="0"/>
    <n v="234.4"/>
    <n v="0.17"/>
    <x v="0"/>
    <n v="39.848000000000006"/>
  </r>
  <r>
    <s v="MTR0275"/>
    <x v="210"/>
    <x v="1"/>
    <x v="1"/>
    <n v="1205.2"/>
    <n v="0.21"/>
    <x v="0"/>
    <n v="253.09200000000001"/>
  </r>
  <r>
    <s v="MTR0276"/>
    <x v="211"/>
    <x v="3"/>
    <x v="0"/>
    <n v="178.4"/>
    <n v="0.18"/>
    <x v="0"/>
    <n v="32.112000000000002"/>
  </r>
  <r>
    <s v="MTR0277"/>
    <x v="212"/>
    <x v="1"/>
    <x v="0"/>
    <n v="401.8"/>
    <n v="0.18"/>
    <x v="0"/>
    <n v="72.323999999999998"/>
  </r>
  <r>
    <s v="MTR0278"/>
    <x v="213"/>
    <x v="1"/>
    <x v="0"/>
    <n v="141.1"/>
    <n v="0.17"/>
    <x v="0"/>
    <n v="23.987000000000002"/>
  </r>
  <r>
    <s v="MTR0279"/>
    <x v="214"/>
    <x v="4"/>
    <x v="0"/>
    <n v="308.10000000000002"/>
    <n v="0.19"/>
    <x v="2"/>
    <n v="58.539000000000001"/>
  </r>
  <r>
    <s v="MTR0280"/>
    <x v="215"/>
    <x v="1"/>
    <x v="0"/>
    <n v="92"/>
    <n v="0.18"/>
    <x v="2"/>
    <n v="16.559999999999999"/>
  </r>
  <r>
    <s v="MTR0281"/>
    <x v="216"/>
    <x v="3"/>
    <x v="0"/>
    <n v="244.7"/>
    <n v="0.18"/>
    <x v="0"/>
    <n v="44.045999999999999"/>
  </r>
  <r>
    <s v="MTR0282"/>
    <x v="39"/>
    <x v="5"/>
    <x v="2"/>
    <n v="5684.7"/>
    <n v="0.24"/>
    <x v="0"/>
    <n v="1364.328"/>
  </r>
  <r>
    <s v="MTR0283"/>
    <x v="217"/>
    <x v="0"/>
    <x v="0"/>
    <n v="185.5"/>
    <n v="0.18"/>
    <x v="0"/>
    <n v="33.39"/>
  </r>
  <r>
    <s v="MTR0284"/>
    <x v="218"/>
    <x v="0"/>
    <x v="0"/>
    <n v="989.4"/>
    <n v="0.22"/>
    <x v="1"/>
    <n v="217.66800000000001"/>
  </r>
  <r>
    <s v="MTR0285"/>
    <x v="196"/>
    <x v="0"/>
    <x v="0"/>
    <n v="92.9"/>
    <n v="0.17"/>
    <x v="0"/>
    <n v="15.793000000000003"/>
  </r>
  <r>
    <s v="MTR0286"/>
    <x v="137"/>
    <x v="2"/>
    <x v="0"/>
    <n v="140"/>
    <n v="0.19"/>
    <x v="2"/>
    <n v="26.6"/>
  </r>
  <r>
    <s v="MTR0287"/>
    <x v="219"/>
    <x v="2"/>
    <x v="1"/>
    <n v="1425.9"/>
    <n v="0.22"/>
    <x v="0"/>
    <n v="313.69800000000004"/>
  </r>
  <r>
    <s v="MTR0288"/>
    <x v="190"/>
    <x v="2"/>
    <x v="0"/>
    <n v="283.89999999999998"/>
    <n v="0.18"/>
    <x v="0"/>
    <n v="51.101999999999997"/>
  </r>
  <r>
    <s v="MTR0289"/>
    <x v="148"/>
    <x v="4"/>
    <x v="0"/>
    <n v="643.20000000000005"/>
    <n v="0.18"/>
    <x v="1"/>
    <n v="115.77600000000001"/>
  </r>
  <r>
    <s v="MTR0290"/>
    <x v="33"/>
    <x v="4"/>
    <x v="0"/>
    <n v="4843.1000000000004"/>
    <n v="0.25"/>
    <x v="0"/>
    <n v="1210.7750000000001"/>
  </r>
  <r>
    <s v="MTR0291"/>
    <x v="220"/>
    <x v="0"/>
    <x v="0"/>
    <n v="175.7"/>
    <n v="0.23"/>
    <x v="0"/>
    <n v="40.411000000000001"/>
  </r>
  <r>
    <s v="MTR0292"/>
    <x v="218"/>
    <x v="0"/>
    <x v="0"/>
    <n v="133.5"/>
    <n v="0.18"/>
    <x v="0"/>
    <n v="24.029999999999998"/>
  </r>
  <r>
    <s v="MTR0293"/>
    <x v="221"/>
    <x v="0"/>
    <x v="2"/>
    <n v="3074.2"/>
    <n v="0.25"/>
    <x v="0"/>
    <n v="768.55"/>
  </r>
  <r>
    <s v="MTR0294"/>
    <x v="222"/>
    <x v="0"/>
    <x v="0"/>
    <n v="359.2"/>
    <n v="0.18"/>
    <x v="0"/>
    <n v="64.655999999999992"/>
  </r>
  <r>
    <s v="MTR0295"/>
    <x v="223"/>
    <x v="0"/>
    <x v="1"/>
    <n v="1629.4"/>
    <n v="0.21"/>
    <x v="2"/>
    <n v="342.17399999999998"/>
  </r>
  <r>
    <s v="MTR0296"/>
    <x v="140"/>
    <x v="3"/>
    <x v="1"/>
    <n v="926"/>
    <n v="0.23"/>
    <x v="0"/>
    <n v="212.98000000000002"/>
  </r>
  <r>
    <s v="MTR0297"/>
    <x v="224"/>
    <x v="1"/>
    <x v="0"/>
    <n v="445.4"/>
    <n v="0.17"/>
    <x v="1"/>
    <n v="75.718000000000004"/>
  </r>
  <r>
    <s v="MTR0298"/>
    <x v="225"/>
    <x v="1"/>
    <x v="1"/>
    <n v="1804.5"/>
    <n v="0.22"/>
    <x v="0"/>
    <n v="396.99"/>
  </r>
  <r>
    <s v="MTR0299"/>
    <x v="63"/>
    <x v="1"/>
    <x v="1"/>
    <n v="529.70000000000005"/>
    <n v="0.19"/>
    <x v="1"/>
    <n v="100.64300000000001"/>
  </r>
  <r>
    <s v="MTR0300"/>
    <x v="223"/>
    <x v="1"/>
    <x v="0"/>
    <n v="572"/>
    <n v="0.17"/>
    <x v="0"/>
    <n v="97.24000000000000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x v="0"/>
    <x v="0"/>
    <x v="0"/>
    <n v="1955.8"/>
    <n v="0.21199999999999999"/>
    <x v="0"/>
    <n v="414.62959999999998"/>
  </r>
  <r>
    <x v="1"/>
    <x v="1"/>
    <x v="0"/>
    <n v="1900.5"/>
    <n v="0.22500000000000001"/>
    <x v="0"/>
    <n v="427.61250000000001"/>
  </r>
  <r>
    <x v="2"/>
    <x v="2"/>
    <x v="0"/>
    <n v="1713.4"/>
    <n v="0.216"/>
    <x v="0"/>
    <n v="370.09440000000001"/>
  </r>
  <r>
    <x v="3"/>
    <x v="0"/>
    <x v="0"/>
    <n v="0"/>
    <n v="0.22800000000000001"/>
    <x v="1"/>
    <n v="0"/>
  </r>
  <r>
    <x v="4"/>
    <x v="1"/>
    <x v="0"/>
    <n v="2125"/>
    <n v="0.215"/>
    <x v="2"/>
    <n v="456.875"/>
  </r>
  <r>
    <x v="5"/>
    <x v="1"/>
    <x v="0"/>
    <n v="850.9"/>
    <n v="0.216"/>
    <x v="0"/>
    <n v="183.7944"/>
  </r>
  <r>
    <x v="6"/>
    <x v="0"/>
    <x v="0"/>
    <n v="1492.5"/>
    <n v="0.223"/>
    <x v="0"/>
    <n v="332.82749999999999"/>
  </r>
  <r>
    <x v="7"/>
    <x v="0"/>
    <x v="0"/>
    <n v="1294.0999999999999"/>
    <n v="0.20899999999999999"/>
    <x v="0"/>
    <n v="270.46689999999995"/>
  </r>
  <r>
    <x v="8"/>
    <x v="0"/>
    <x v="0"/>
    <n v="2003.7"/>
    <n v="0.214"/>
    <x v="0"/>
    <n v="428.79180000000002"/>
  </r>
  <r>
    <x v="9"/>
    <x v="3"/>
    <x v="0"/>
    <n v="693.1"/>
    <n v="0.221"/>
    <x v="0"/>
    <n v="153.17510000000001"/>
  </r>
  <r>
    <x v="10"/>
    <x v="3"/>
    <x v="0"/>
    <n v="2118.5"/>
    <n v="0.221"/>
    <x v="0"/>
    <n v="468.18849999999998"/>
  </r>
  <r>
    <x v="11"/>
    <x v="4"/>
    <x v="0"/>
    <n v="1782"/>
    <n v="0.23"/>
    <x v="1"/>
    <n v="409.86"/>
  </r>
  <r>
    <x v="12"/>
    <x v="3"/>
    <x v="0"/>
    <n v="1307.3"/>
    <n v="0.217"/>
    <x v="1"/>
    <n v="283.6841"/>
  </r>
  <r>
    <x v="13"/>
    <x v="5"/>
    <x v="0"/>
    <n v="1878.9"/>
    <n v="0.21299999999999999"/>
    <x v="0"/>
    <n v="400.20570000000004"/>
  </r>
  <r>
    <x v="14"/>
    <x v="2"/>
    <x v="0"/>
    <n v="2015.9"/>
    <n v="0.22900000000000001"/>
    <x v="3"/>
    <n v="461.64110000000005"/>
  </r>
  <r>
    <x v="15"/>
    <x v="0"/>
    <x v="0"/>
    <n v="915.9"/>
    <n v="0.22700000000000001"/>
    <x v="0"/>
    <n v="207.9093"/>
  </r>
  <r>
    <x v="16"/>
    <x v="4"/>
    <x v="0"/>
    <n v="745.8"/>
    <n v="0.21"/>
    <x v="1"/>
    <n v="156.61799999999999"/>
  </r>
  <r>
    <x v="17"/>
    <x v="5"/>
    <x v="0"/>
    <n v="2079.1"/>
    <n v="0.22800000000000001"/>
    <x v="0"/>
    <n v="474.03480000000002"/>
  </r>
  <r>
    <x v="18"/>
    <x v="6"/>
    <x v="0"/>
    <n v="1936.9"/>
    <n v="0.223"/>
    <x v="3"/>
    <n v="431.92870000000005"/>
  </r>
  <r>
    <x v="19"/>
    <x v="0"/>
    <x v="0"/>
    <n v="1250.4000000000001"/>
    <n v="0.21"/>
    <x v="2"/>
    <n v="262.584"/>
  </r>
  <r>
    <x v="16"/>
    <x v="5"/>
    <x v="0"/>
    <n v="1472"/>
    <n v="0.219"/>
    <x v="0"/>
    <n v="322.36799999999999"/>
  </r>
  <r>
    <x v="20"/>
    <x v="1"/>
    <x v="0"/>
    <n v="578.20000000000005"/>
    <n v="0.22900000000000001"/>
    <x v="0"/>
    <n v="132.40780000000001"/>
  </r>
  <r>
    <x v="21"/>
    <x v="1"/>
    <x v="0"/>
    <n v="1548.9"/>
    <n v="0.21299999999999999"/>
    <x v="3"/>
    <n v="329.91570000000002"/>
  </r>
  <r>
    <x v="22"/>
    <x v="4"/>
    <x v="0"/>
    <n v="1549.2"/>
    <n v="0.21"/>
    <x v="1"/>
    <n v="325.33199999999999"/>
  </r>
  <r>
    <x v="23"/>
    <x v="5"/>
    <x v="0"/>
    <n v="537.70000000000005"/>
    <n v="0.16"/>
    <x v="0"/>
    <n v="86.032000000000011"/>
  </r>
  <r>
    <x v="24"/>
    <x v="5"/>
    <x v="0"/>
    <n v="766.1"/>
    <n v="0.22900000000000001"/>
    <x v="0"/>
    <n v="175.43690000000001"/>
  </r>
  <r>
    <x v="25"/>
    <x v="0"/>
    <x v="0"/>
    <n v="685.2"/>
    <n v="0.22800000000000001"/>
    <x v="3"/>
    <n v="156.22560000000001"/>
  </r>
  <r>
    <x v="26"/>
    <x v="3"/>
    <x v="0"/>
    <n v="1249.2"/>
    <n v="0.215"/>
    <x v="1"/>
    <n v="268.57800000000003"/>
  </r>
  <r>
    <x v="27"/>
    <x v="1"/>
    <x v="0"/>
    <n v="1085.4000000000001"/>
    <n v="0.224"/>
    <x v="0"/>
    <n v="243.12960000000004"/>
  </r>
  <r>
    <x v="28"/>
    <x v="0"/>
    <x v="0"/>
    <n v="1428"/>
    <n v="0.219"/>
    <x v="3"/>
    <n v="312.73200000000003"/>
  </r>
  <r>
    <x v="29"/>
    <x v="0"/>
    <x v="0"/>
    <n v="1831.7"/>
    <n v="0"/>
    <x v="0"/>
    <n v="0"/>
  </r>
  <r>
    <x v="30"/>
    <x v="6"/>
    <x v="0"/>
    <n v="1869.4"/>
    <n v="0.22500000000000001"/>
    <x v="0"/>
    <n v="420.61500000000001"/>
  </r>
  <r>
    <x v="31"/>
    <x v="5"/>
    <x v="0"/>
    <n v="0"/>
    <n v="0.21299999999999999"/>
    <x v="0"/>
    <n v="0"/>
  </r>
  <r>
    <x v="32"/>
    <x v="5"/>
    <x v="0"/>
    <n v="496.2"/>
    <n v="0.21299999999999999"/>
    <x v="2"/>
    <n v="105.69059999999999"/>
  </r>
  <r>
    <x v="33"/>
    <x v="4"/>
    <x v="0"/>
    <n v="1768.6"/>
    <n v="0.218"/>
    <x v="1"/>
    <n v="385.5548"/>
  </r>
  <r>
    <x v="34"/>
    <x v="3"/>
    <x v="0"/>
    <n v="1984.8"/>
    <n v="0.22"/>
    <x v="0"/>
    <n v="436.65600000000001"/>
  </r>
  <r>
    <x v="35"/>
    <x v="3"/>
    <x v="0"/>
    <n v="0"/>
    <n v="0.22600000000000001"/>
    <x v="1"/>
    <n v="0"/>
  </r>
  <r>
    <x v="36"/>
    <x v="5"/>
    <x v="0"/>
    <n v="1150.9000000000001"/>
    <n v="0.214"/>
    <x v="0"/>
    <n v="246.29260000000002"/>
  </r>
  <r>
    <x v="37"/>
    <x v="0"/>
    <x v="0"/>
    <n v="1769.6"/>
    <n v="0.22700000000000001"/>
    <x v="0"/>
    <n v="401.69920000000002"/>
  </r>
  <r>
    <x v="38"/>
    <x v="0"/>
    <x v="0"/>
    <n v="0"/>
    <n v="0.216"/>
    <x v="1"/>
    <n v="0"/>
  </r>
  <r>
    <x v="39"/>
    <x v="2"/>
    <x v="0"/>
    <n v="1260.0999999999999"/>
    <n v="0.224"/>
    <x v="1"/>
    <n v="282.26240000000001"/>
  </r>
  <r>
    <x v="40"/>
    <x v="0"/>
    <x v="0"/>
    <n v="1411.3"/>
    <n v="0.22"/>
    <x v="0"/>
    <n v="310.48599999999999"/>
  </r>
  <r>
    <x v="41"/>
    <x v="0"/>
    <x v="0"/>
    <n v="1919.3"/>
    <n v="0.222"/>
    <x v="0"/>
    <n v="426.08460000000002"/>
  </r>
  <r>
    <x v="16"/>
    <x v="0"/>
    <x v="0"/>
    <n v="1200.8"/>
    <n v="0.218"/>
    <x v="0"/>
    <n v="261.77440000000001"/>
  </r>
  <r>
    <x v="16"/>
    <x v="3"/>
    <x v="0"/>
    <n v="941.9"/>
    <n v="0.218"/>
    <x v="0"/>
    <n v="205.33419999999998"/>
  </r>
  <r>
    <x v="42"/>
    <x v="5"/>
    <x v="0"/>
    <n v="1065.7"/>
    <n v="0.23100000000000001"/>
    <x v="3"/>
    <n v="246.17670000000001"/>
  </r>
  <r>
    <x v="43"/>
    <x v="0"/>
    <x v="0"/>
    <n v="1915.3"/>
    <n v="0.218"/>
    <x v="0"/>
    <n v="417.53539999999998"/>
  </r>
  <r>
    <x v="44"/>
    <x v="0"/>
    <x v="0"/>
    <n v="1433.7"/>
    <n v="0.22"/>
    <x v="0"/>
    <n v="315.41399999999999"/>
  </r>
  <r>
    <x v="45"/>
    <x v="3"/>
    <x v="0"/>
    <n v="2025.6"/>
    <n v="0.223"/>
    <x v="3"/>
    <n v="451.7088"/>
  </r>
  <r>
    <x v="46"/>
    <x v="0"/>
    <x v="0"/>
    <n v="818.9"/>
    <n v="0.21299999999999999"/>
    <x v="0"/>
    <n v="174.42569999999998"/>
  </r>
  <r>
    <x v="47"/>
    <x v="0"/>
    <x v="0"/>
    <n v="2187.8000000000002"/>
    <n v="0"/>
    <x v="0"/>
    <n v="0"/>
  </r>
  <r>
    <x v="48"/>
    <x v="0"/>
    <x v="0"/>
    <n v="1522.7"/>
    <n v="0.223"/>
    <x v="1"/>
    <n v="339.56210000000004"/>
  </r>
  <r>
    <x v="49"/>
    <x v="4"/>
    <x v="0"/>
    <n v="919.4"/>
    <n v="0"/>
    <x v="3"/>
    <n v="0"/>
  </r>
  <r>
    <x v="50"/>
    <x v="0"/>
    <x v="0"/>
    <n v="545.5"/>
    <n v="0.22600000000000001"/>
    <x v="0"/>
    <n v="123.283"/>
  </r>
  <r>
    <x v="51"/>
    <x v="5"/>
    <x v="0"/>
    <n v="2109.5"/>
    <n v="0.22900000000000001"/>
    <x v="1"/>
    <n v="483.07550000000003"/>
  </r>
  <r>
    <x v="52"/>
    <x v="0"/>
    <x v="0"/>
    <n v="539"/>
    <n v="0.215"/>
    <x v="0"/>
    <n v="115.88500000000001"/>
  </r>
  <r>
    <x v="53"/>
    <x v="1"/>
    <x v="0"/>
    <n v="1820.1"/>
    <n v="0"/>
    <x v="1"/>
    <n v="0"/>
  </r>
  <r>
    <x v="54"/>
    <x v="5"/>
    <x v="0"/>
    <n v="1162.3"/>
    <n v="0.218"/>
    <x v="0"/>
    <n v="253.38139999999999"/>
  </r>
  <r>
    <x v="16"/>
    <x v="0"/>
    <x v="0"/>
    <n v="405.1"/>
    <n v="0.224"/>
    <x v="1"/>
    <n v="90.742400000000004"/>
  </r>
  <r>
    <x v="10"/>
    <x v="5"/>
    <x v="0"/>
    <n v="994.4"/>
    <n v="0.224"/>
    <x v="0"/>
    <n v="222.7456"/>
  </r>
  <r>
    <x v="55"/>
    <x v="1"/>
    <x v="0"/>
    <n v="2009.8"/>
    <n v="0.23100000000000001"/>
    <x v="0"/>
    <n v="464.2638"/>
  </r>
  <r>
    <x v="56"/>
    <x v="0"/>
    <x v="0"/>
    <n v="498.5"/>
    <n v="0.22600000000000001"/>
    <x v="1"/>
    <n v="112.661"/>
  </r>
  <r>
    <x v="57"/>
    <x v="2"/>
    <x v="0"/>
    <n v="1789.7"/>
    <n v="0"/>
    <x v="0"/>
    <n v="0"/>
  </r>
  <r>
    <x v="58"/>
    <x v="5"/>
    <x v="0"/>
    <n v="0"/>
    <n v="0.217"/>
    <x v="0"/>
    <n v="0"/>
  </r>
  <r>
    <x v="16"/>
    <x v="3"/>
    <x v="0"/>
    <n v="995.1"/>
    <n v="0.219"/>
    <x v="2"/>
    <n v="217.92690000000002"/>
  </r>
  <r>
    <x v="59"/>
    <x v="5"/>
    <x v="0"/>
    <n v="977.5"/>
    <n v="0.21099999999999999"/>
    <x v="0"/>
    <n v="206.2525"/>
  </r>
  <r>
    <x v="60"/>
    <x v="0"/>
    <x v="0"/>
    <n v="1052"/>
    <n v="0"/>
    <x v="1"/>
    <n v="0"/>
  </r>
  <r>
    <x v="61"/>
    <x v="4"/>
    <x v="0"/>
    <n v="855.8"/>
    <n v="0.21"/>
    <x v="0"/>
    <n v="179.71799999999999"/>
  </r>
  <r>
    <x v="62"/>
    <x v="5"/>
    <x v="0"/>
    <n v="1920"/>
    <n v="0.224"/>
    <x v="0"/>
    <n v="430.08"/>
  </r>
  <r>
    <x v="63"/>
    <x v="5"/>
    <x v="0"/>
    <n v="1036"/>
    <n v="0.21199999999999999"/>
    <x v="0"/>
    <n v="219.63200000000001"/>
  </r>
  <r>
    <x v="64"/>
    <x v="0"/>
    <x v="0"/>
    <n v="1205.2"/>
    <n v="0.21299999999999999"/>
    <x v="0"/>
    <n v="256.70760000000001"/>
  </r>
  <r>
    <x v="65"/>
    <x v="1"/>
    <x v="0"/>
    <n v="1425.9"/>
    <n v="0.217"/>
    <x v="0"/>
    <n v="309.4203"/>
  </r>
  <r>
    <x v="66"/>
    <x v="5"/>
    <x v="0"/>
    <n v="1629.4"/>
    <n v="0.21299999999999999"/>
    <x v="3"/>
    <n v="347.06220000000002"/>
  </r>
  <r>
    <x v="67"/>
    <x v="2"/>
    <x v="0"/>
    <n v="926"/>
    <n v="0.22800000000000001"/>
    <x v="0"/>
    <n v="211.12800000000001"/>
  </r>
  <r>
    <x v="68"/>
    <x v="0"/>
    <x v="0"/>
    <n v="1804.5"/>
    <n v="0.217"/>
    <x v="0"/>
    <n v="391.57650000000001"/>
  </r>
  <r>
    <x v="69"/>
    <x v="3"/>
    <x v="1"/>
    <n v="0"/>
    <n v="0.24299999999999999"/>
    <x v="0"/>
    <n v="0"/>
  </r>
  <r>
    <x v="4"/>
    <x v="0"/>
    <x v="1"/>
    <n v="6117.6"/>
    <n v="0.24199999999999999"/>
    <x v="0"/>
    <n v="1480.4592"/>
  </r>
  <r>
    <x v="70"/>
    <x v="4"/>
    <x v="1"/>
    <n v="5701.5"/>
    <n v="0.24299999999999999"/>
    <x v="1"/>
    <n v="1385.4645"/>
  </r>
  <r>
    <x v="71"/>
    <x v="0"/>
    <x v="1"/>
    <n v="0"/>
    <n v="0.25600000000000001"/>
    <x v="0"/>
    <n v="0"/>
  </r>
  <r>
    <x v="48"/>
    <x v="0"/>
    <x v="1"/>
    <n v="5808.6"/>
    <n v="0.253"/>
    <x v="2"/>
    <n v="1469.5758000000001"/>
  </r>
  <r>
    <x v="72"/>
    <x v="0"/>
    <x v="1"/>
    <n v="5632.1"/>
    <n v="0.26200000000000001"/>
    <x v="0"/>
    <n v="1475.6102000000001"/>
  </r>
  <r>
    <x v="16"/>
    <x v="4"/>
    <x v="1"/>
    <n v="6076.6"/>
    <n v="0.254"/>
    <x v="3"/>
    <n v="1543.4564"/>
  </r>
  <r>
    <x v="73"/>
    <x v="6"/>
    <x v="1"/>
    <n v="6150.7"/>
    <n v="0.24199999999999999"/>
    <x v="0"/>
    <n v="1488.4694"/>
  </r>
  <r>
    <x v="74"/>
    <x v="0"/>
    <x v="1"/>
    <n v="4460.2"/>
    <n v="0.26200000000000001"/>
    <x v="3"/>
    <n v="1168.5724"/>
  </r>
  <r>
    <x v="75"/>
    <x v="0"/>
    <x v="1"/>
    <n v="2743.3"/>
    <n v="0.25900000000000001"/>
    <x v="1"/>
    <n v="710.51470000000006"/>
  </r>
  <r>
    <x v="16"/>
    <x v="0"/>
    <x v="1"/>
    <n v="3613.8"/>
    <n v="0.25900000000000001"/>
    <x v="3"/>
    <n v="935.97420000000011"/>
  </r>
  <r>
    <x v="76"/>
    <x v="0"/>
    <x v="1"/>
    <n v="6470.2"/>
    <n v="0.26100000000000001"/>
    <x v="0"/>
    <n v="1688.7221999999999"/>
  </r>
  <r>
    <x v="77"/>
    <x v="3"/>
    <x v="1"/>
    <n v="4182.5"/>
    <n v="0.26"/>
    <x v="0"/>
    <n v="1087.45"/>
  </r>
  <r>
    <x v="78"/>
    <x v="5"/>
    <x v="1"/>
    <n v="1836.8"/>
    <n v="0.25"/>
    <x v="3"/>
    <n v="459.2"/>
  </r>
  <r>
    <x v="6"/>
    <x v="4"/>
    <x v="1"/>
    <n v="6478.7"/>
    <n v="0.25800000000000001"/>
    <x v="0"/>
    <n v="1671.5046"/>
  </r>
  <r>
    <x v="79"/>
    <x v="5"/>
    <x v="1"/>
    <n v="6253.8"/>
    <n v="0.26"/>
    <x v="0"/>
    <n v="1625.9880000000001"/>
  </r>
  <r>
    <x v="79"/>
    <x v="5"/>
    <x v="1"/>
    <n v="6253.8"/>
    <n v="0.26"/>
    <x v="0"/>
    <n v="1625.9880000000001"/>
  </r>
  <r>
    <x v="80"/>
    <x v="0"/>
    <x v="1"/>
    <n v="5871.2"/>
    <n v="0.248"/>
    <x v="2"/>
    <n v="1456.0575999999999"/>
  </r>
  <r>
    <x v="81"/>
    <x v="4"/>
    <x v="1"/>
    <n v="5684.7"/>
    <n v="0.24299999999999999"/>
    <x v="0"/>
    <n v="1381.3820999999998"/>
  </r>
  <r>
    <x v="82"/>
    <x v="5"/>
    <x v="1"/>
    <n v="3074.2"/>
    <n v="0.25"/>
    <x v="0"/>
    <n v="768.55"/>
  </r>
  <r>
    <x v="83"/>
    <x v="5"/>
    <x v="2"/>
    <n v="379.3"/>
    <n v="0.17399999999999999"/>
    <x v="0"/>
    <n v="65.998199999999997"/>
  </r>
  <r>
    <x v="84"/>
    <x v="0"/>
    <x v="2"/>
    <n v="466.9"/>
    <n v="0.17799999999999999"/>
    <x v="0"/>
    <n v="83.108199999999997"/>
  </r>
  <r>
    <x v="85"/>
    <x v="0"/>
    <x v="2"/>
    <n v="356.3"/>
    <n v="0.186"/>
    <x v="0"/>
    <n v="66.271799999999999"/>
  </r>
  <r>
    <x v="86"/>
    <x v="5"/>
    <x v="2"/>
    <n v="410.9"/>
    <n v="0.188"/>
    <x v="0"/>
    <n v="77.249200000000002"/>
  </r>
  <r>
    <x v="87"/>
    <x v="0"/>
    <x v="2"/>
    <n v="570.70000000000005"/>
    <n v="0.17799999999999999"/>
    <x v="0"/>
    <n v="101.58460000000001"/>
  </r>
  <r>
    <x v="88"/>
    <x v="5"/>
    <x v="2"/>
    <n v="503.1"/>
    <n v="0.17299999999999999"/>
    <x v="0"/>
    <n v="87.036299999999997"/>
  </r>
  <r>
    <x v="89"/>
    <x v="5"/>
    <x v="2"/>
    <n v="296.10000000000002"/>
    <n v="0.189"/>
    <x v="2"/>
    <n v="55.962900000000005"/>
  </r>
  <r>
    <x v="89"/>
    <x v="5"/>
    <x v="2"/>
    <n v="296.10000000000002"/>
    <n v="0.189"/>
    <x v="0"/>
    <n v="55.962900000000005"/>
  </r>
  <r>
    <x v="11"/>
    <x v="0"/>
    <x v="2"/>
    <n v="532.1"/>
    <n v="0.18"/>
    <x v="0"/>
    <n v="95.778000000000006"/>
  </r>
  <r>
    <x v="90"/>
    <x v="4"/>
    <x v="2"/>
    <n v="86"/>
    <n v="0.17199999999999999"/>
    <x v="0"/>
    <n v="14.791999999999998"/>
  </r>
  <r>
    <x v="91"/>
    <x v="6"/>
    <x v="2"/>
    <n v="325.89999999999998"/>
    <n v="0.17399999999999999"/>
    <x v="3"/>
    <n v="56.706599999999995"/>
  </r>
  <r>
    <x v="91"/>
    <x v="6"/>
    <x v="2"/>
    <n v="470.3"/>
    <n v="0.17899999999999999"/>
    <x v="0"/>
    <n v="84.183700000000002"/>
  </r>
  <r>
    <x v="16"/>
    <x v="5"/>
    <x v="2"/>
    <n v="585.20000000000005"/>
    <n v="0.17399999999999999"/>
    <x v="1"/>
    <n v="101.8248"/>
  </r>
  <r>
    <x v="92"/>
    <x v="2"/>
    <x v="2"/>
    <n v="233.7"/>
    <n v="0.182"/>
    <x v="0"/>
    <n v="42.5334"/>
  </r>
  <r>
    <x v="93"/>
    <x v="4"/>
    <x v="2"/>
    <n v="581.20000000000005"/>
    <n v="0"/>
    <x v="3"/>
    <n v="0"/>
  </r>
  <r>
    <x v="94"/>
    <x v="6"/>
    <x v="2"/>
    <n v="199.8"/>
    <n v="0.17199999999999999"/>
    <x v="0"/>
    <n v="34.365600000000001"/>
  </r>
  <r>
    <x v="95"/>
    <x v="3"/>
    <x v="2"/>
    <n v="247.8"/>
    <n v="0.182"/>
    <x v="0"/>
    <n v="45.099600000000002"/>
  </r>
  <r>
    <x v="43"/>
    <x v="5"/>
    <x v="2"/>
    <n v="206.9"/>
    <n v="0.189"/>
    <x v="3"/>
    <n v="39.104100000000003"/>
  </r>
  <r>
    <x v="96"/>
    <x v="1"/>
    <x v="2"/>
    <n v="508.8"/>
    <n v="0.185"/>
    <x v="0"/>
    <n v="94.128"/>
  </r>
  <r>
    <x v="16"/>
    <x v="0"/>
    <x v="2"/>
    <n v="327.2"/>
    <n v="0.184"/>
    <x v="3"/>
    <n v="60.204799999999999"/>
  </r>
  <r>
    <x v="97"/>
    <x v="0"/>
    <x v="2"/>
    <n v="0"/>
    <n v="23"/>
    <x v="0"/>
    <n v="0"/>
  </r>
  <r>
    <x v="27"/>
    <x v="1"/>
    <x v="2"/>
    <n v="620.4"/>
    <n v="0.188"/>
    <x v="1"/>
    <n v="116.6352"/>
  </r>
  <r>
    <x v="98"/>
    <x v="5"/>
    <x v="2"/>
    <n v="184.8"/>
    <n v="0.188"/>
    <x v="0"/>
    <n v="34.742400000000004"/>
  </r>
  <r>
    <x v="13"/>
    <x v="2"/>
    <x v="2"/>
    <n v="0"/>
    <n v="0.185"/>
    <x v="0"/>
    <n v="0"/>
  </r>
  <r>
    <x v="1"/>
    <x v="0"/>
    <x v="2"/>
    <n v="565.70000000000005"/>
    <n v="0"/>
    <x v="0"/>
    <n v="0"/>
  </r>
  <r>
    <x v="99"/>
    <x v="5"/>
    <x v="2"/>
    <n v="608.1"/>
    <n v="0.17899999999999999"/>
    <x v="0"/>
    <n v="108.84990000000001"/>
  </r>
  <r>
    <x v="81"/>
    <x v="5"/>
    <x v="2"/>
    <n v="539"/>
    <n v="0"/>
    <x v="0"/>
    <n v="0"/>
  </r>
  <r>
    <x v="100"/>
    <x v="0"/>
    <x v="2"/>
    <n v="240"/>
    <n v="0.18099999999999999"/>
    <x v="3"/>
    <n v="43.44"/>
  </r>
  <r>
    <x v="101"/>
    <x v="0"/>
    <x v="2"/>
    <n v="592.6"/>
    <n v="0.17399999999999999"/>
    <x v="0"/>
    <n v="103.11239999999999"/>
  </r>
  <r>
    <x v="102"/>
    <x v="0"/>
    <x v="2"/>
    <n v="464.8"/>
    <n v="0.188"/>
    <x v="0"/>
    <n v="87.382400000000004"/>
  </r>
  <r>
    <x v="103"/>
    <x v="0"/>
    <x v="2"/>
    <n v="399.1"/>
    <n v="0.182"/>
    <x v="0"/>
    <n v="72.636200000000002"/>
  </r>
  <r>
    <x v="104"/>
    <x v="0"/>
    <x v="2"/>
    <n v="162.1"/>
    <n v="0.185"/>
    <x v="0"/>
    <n v="29.988499999999998"/>
  </r>
  <r>
    <x v="105"/>
    <x v="5"/>
    <x v="2"/>
    <n v="110.3"/>
    <n v="0.17299999999999999"/>
    <x v="0"/>
    <n v="19.081899999999997"/>
  </r>
  <r>
    <x v="106"/>
    <x v="0"/>
    <x v="2"/>
    <n v="133.4"/>
    <n v="0.17199999999999999"/>
    <x v="0"/>
    <n v="22.944800000000001"/>
  </r>
  <r>
    <x v="107"/>
    <x v="5"/>
    <x v="2"/>
    <n v="582.79999999999995"/>
    <n v="0.186"/>
    <x v="2"/>
    <n v="108.40079999999999"/>
  </r>
  <r>
    <x v="108"/>
    <x v="6"/>
    <x v="2"/>
    <n v="415.9"/>
    <n v="0.17399999999999999"/>
    <x v="1"/>
    <n v="72.366599999999991"/>
  </r>
  <r>
    <x v="109"/>
    <x v="2"/>
    <x v="2"/>
    <n v="213.3"/>
    <n v="0"/>
    <x v="0"/>
    <n v="0"/>
  </r>
  <r>
    <x v="110"/>
    <x v="0"/>
    <x v="2"/>
    <n v="589.9"/>
    <n v="0.17499999999999999"/>
    <x v="0"/>
    <n v="103.23249999999999"/>
  </r>
  <r>
    <x v="14"/>
    <x v="4"/>
    <x v="2"/>
    <n v="634.5"/>
    <n v="0.186"/>
    <x v="0"/>
    <n v="118.017"/>
  </r>
  <r>
    <x v="111"/>
    <x v="3"/>
    <x v="2"/>
    <n v="171.9"/>
    <n v="0.184"/>
    <x v="0"/>
    <n v="31.6296"/>
  </r>
  <r>
    <x v="112"/>
    <x v="0"/>
    <x v="2"/>
    <n v="82.9"/>
    <n v="0"/>
    <x v="1"/>
    <n v="0"/>
  </r>
  <r>
    <x v="97"/>
    <x v="0"/>
    <x v="2"/>
    <n v="285.2"/>
    <n v="0.17799999999999999"/>
    <x v="0"/>
    <n v="50.765599999999992"/>
  </r>
  <r>
    <x v="113"/>
    <x v="3"/>
    <x v="2"/>
    <n v="167.8"/>
    <n v="0.17799999999999999"/>
    <x v="0"/>
    <n v="29.868400000000001"/>
  </r>
  <r>
    <x v="114"/>
    <x v="6"/>
    <x v="2"/>
    <n v="424.7"/>
    <n v="0.17100000000000001"/>
    <x v="0"/>
    <n v="72.623699999999999"/>
  </r>
  <r>
    <x v="115"/>
    <x v="4"/>
    <x v="2"/>
    <n v="136"/>
    <n v="0.184"/>
    <x v="2"/>
    <n v="25.024000000000001"/>
  </r>
  <r>
    <x v="116"/>
    <x v="0"/>
    <x v="2"/>
    <n v="372.7"/>
    <n v="0.187"/>
    <x v="2"/>
    <n v="69.694900000000004"/>
  </r>
  <r>
    <x v="117"/>
    <x v="1"/>
    <x v="2"/>
    <n v="318.8"/>
    <n v="0.184"/>
    <x v="0"/>
    <n v="58.659199999999998"/>
  </r>
  <r>
    <x v="117"/>
    <x v="1"/>
    <x v="2"/>
    <n v="318.8"/>
    <n v="0.184"/>
    <x v="0"/>
    <n v="58.659199999999998"/>
  </r>
  <r>
    <x v="118"/>
    <x v="4"/>
    <x v="2"/>
    <n v="168.7"/>
    <n v="0.17699999999999999"/>
    <x v="1"/>
    <n v="29.859899999999996"/>
  </r>
  <r>
    <x v="118"/>
    <x v="4"/>
    <x v="2"/>
    <n v="168.7"/>
    <n v="0.17699999999999999"/>
    <x v="1"/>
    <n v="29.859899999999996"/>
  </r>
  <r>
    <x v="119"/>
    <x v="6"/>
    <x v="2"/>
    <n v="165.7"/>
    <n v="0.189"/>
    <x v="3"/>
    <n v="31.317299999999999"/>
  </r>
  <r>
    <x v="6"/>
    <x v="4"/>
    <x v="2"/>
    <n v="306.89999999999998"/>
    <n v="0.189"/>
    <x v="3"/>
    <n v="58.004099999999994"/>
  </r>
  <r>
    <x v="25"/>
    <x v="4"/>
    <x v="2"/>
    <n v="104.5"/>
    <n v="0.187"/>
    <x v="0"/>
    <n v="19.541499999999999"/>
  </r>
  <r>
    <x v="120"/>
    <x v="4"/>
    <x v="2"/>
    <n v="430.4"/>
    <n v="0.18"/>
    <x v="0"/>
    <n v="77.471999999999994"/>
  </r>
  <r>
    <x v="120"/>
    <x v="4"/>
    <x v="2"/>
    <n v="430.4"/>
    <n v="0.18"/>
    <x v="0"/>
    <n v="77.471999999999994"/>
  </r>
  <r>
    <x v="121"/>
    <x v="1"/>
    <x v="2"/>
    <n v="407.1"/>
    <n v="0.184"/>
    <x v="1"/>
    <n v="74.906400000000005"/>
  </r>
  <r>
    <x v="122"/>
    <x v="0"/>
    <x v="2"/>
    <n v="484.9"/>
    <n v="0.188"/>
    <x v="0"/>
    <n v="91.161199999999994"/>
  </r>
  <r>
    <x v="123"/>
    <x v="4"/>
    <x v="2"/>
    <n v="523.5"/>
    <n v="0.17899999999999999"/>
    <x v="1"/>
    <n v="93.706499999999991"/>
  </r>
  <r>
    <x v="124"/>
    <x v="0"/>
    <x v="2"/>
    <n v="245.6"/>
    <n v="0.183"/>
    <x v="3"/>
    <n v="44.944800000000001"/>
  </r>
  <r>
    <x v="125"/>
    <x v="0"/>
    <x v="2"/>
    <n v="457"/>
    <n v="0.17699999999999999"/>
    <x v="3"/>
    <n v="80.888999999999996"/>
  </r>
  <r>
    <x v="126"/>
    <x v="0"/>
    <x v="2"/>
    <n v="0"/>
    <n v="0.17899999999999999"/>
    <x v="0"/>
    <n v="0"/>
  </r>
  <r>
    <x v="9"/>
    <x v="3"/>
    <x v="2"/>
    <n v="141.4"/>
    <n v="0.186"/>
    <x v="0"/>
    <n v="26.3004"/>
  </r>
  <r>
    <x v="127"/>
    <x v="0"/>
    <x v="2"/>
    <n v="373.9"/>
    <n v="0.183"/>
    <x v="2"/>
    <n v="68.423699999999997"/>
  </r>
  <r>
    <x v="128"/>
    <x v="2"/>
    <x v="2"/>
    <n v="96.7"/>
    <n v="0.183"/>
    <x v="1"/>
    <n v="17.696100000000001"/>
  </r>
  <r>
    <x v="129"/>
    <x v="0"/>
    <x v="2"/>
    <n v="447.4"/>
    <n v="0.18"/>
    <x v="0"/>
    <n v="80.531999999999996"/>
  </r>
  <r>
    <x v="89"/>
    <x v="5"/>
    <x v="2"/>
    <n v="380.2"/>
    <n v="0.18099999999999999"/>
    <x v="0"/>
    <n v="68.816199999999995"/>
  </r>
  <r>
    <x v="130"/>
    <x v="5"/>
    <x v="2"/>
    <n v="459"/>
    <n v="0.17100000000000001"/>
    <x v="0"/>
    <n v="78.489000000000004"/>
  </r>
  <r>
    <x v="131"/>
    <x v="3"/>
    <x v="2"/>
    <n v="145.19999999999999"/>
    <n v="0.184"/>
    <x v="0"/>
    <n v="26.716799999999999"/>
  </r>
  <r>
    <x v="132"/>
    <x v="4"/>
    <x v="2"/>
    <n v="458.8"/>
    <n v="0.17199999999999999"/>
    <x v="0"/>
    <n v="78.913600000000002"/>
  </r>
  <r>
    <x v="133"/>
    <x v="4"/>
    <x v="2"/>
    <n v="608.29999999999995"/>
    <n v="0"/>
    <x v="3"/>
    <n v="0"/>
  </r>
  <r>
    <x v="16"/>
    <x v="4"/>
    <x v="2"/>
    <n v="282.10000000000002"/>
    <n v="0.183"/>
    <x v="1"/>
    <n v="51.624300000000005"/>
  </r>
  <r>
    <x v="134"/>
    <x v="0"/>
    <x v="2"/>
    <n v="548"/>
    <n v="0.18099999999999999"/>
    <x v="0"/>
    <n v="99.188000000000002"/>
  </r>
  <r>
    <x v="135"/>
    <x v="5"/>
    <x v="2"/>
    <n v="598.5"/>
    <n v="0.183"/>
    <x v="0"/>
    <n v="109.52549999999999"/>
  </r>
  <r>
    <x v="136"/>
    <x v="6"/>
    <x v="2"/>
    <n v="396.9"/>
    <n v="0.184"/>
    <x v="1"/>
    <n v="73.029599999999988"/>
  </r>
  <r>
    <x v="30"/>
    <x v="3"/>
    <x v="2"/>
    <n v="425.8"/>
    <n v="0.184"/>
    <x v="1"/>
    <n v="78.347200000000001"/>
  </r>
  <r>
    <x v="18"/>
    <x v="6"/>
    <x v="2"/>
    <n v="167.2"/>
    <n v="0.186"/>
    <x v="0"/>
    <n v="31.099199999999996"/>
  </r>
  <r>
    <x v="137"/>
    <x v="2"/>
    <x v="2"/>
    <n v="326"/>
    <n v="0.17499999999999999"/>
    <x v="0"/>
    <n v="57.05"/>
  </r>
  <r>
    <x v="138"/>
    <x v="3"/>
    <x v="2"/>
    <n v="186.9"/>
    <n v="0.183"/>
    <x v="0"/>
    <n v="34.2027"/>
  </r>
  <r>
    <x v="138"/>
    <x v="3"/>
    <x v="2"/>
    <n v="186.9"/>
    <n v="0.183"/>
    <x v="0"/>
    <n v="34.2027"/>
  </r>
  <r>
    <x v="139"/>
    <x v="5"/>
    <x v="2"/>
    <n v="181.1"/>
    <n v="0.17599999999999999"/>
    <x v="0"/>
    <n v="31.873599999999996"/>
  </r>
  <r>
    <x v="140"/>
    <x v="0"/>
    <x v="2"/>
    <n v="0"/>
    <n v="0.18"/>
    <x v="0"/>
    <n v="0"/>
  </r>
  <r>
    <x v="141"/>
    <x v="3"/>
    <x v="2"/>
    <n v="636.20000000000005"/>
    <n v="0.183"/>
    <x v="0"/>
    <n v="116.42460000000001"/>
  </r>
  <r>
    <x v="142"/>
    <x v="2"/>
    <x v="2"/>
    <n v="566.79999999999995"/>
    <n v="0.187"/>
    <x v="0"/>
    <n v="105.99159999999999"/>
  </r>
  <r>
    <x v="81"/>
    <x v="5"/>
    <x v="2"/>
    <n v="387.3"/>
    <n v="0.17100000000000001"/>
    <x v="3"/>
    <n v="66.228300000000004"/>
  </r>
  <r>
    <x v="143"/>
    <x v="0"/>
    <x v="2"/>
    <n v="458.8"/>
    <n v="0.17699999999999999"/>
    <x v="0"/>
    <n v="81.207599999999999"/>
  </r>
  <r>
    <x v="144"/>
    <x v="1"/>
    <x v="2"/>
    <n v="614.70000000000005"/>
    <n v="0.17699999999999999"/>
    <x v="0"/>
    <n v="108.8019"/>
  </r>
  <r>
    <x v="145"/>
    <x v="3"/>
    <x v="2"/>
    <n v="188.2"/>
    <n v="0.17799999999999999"/>
    <x v="0"/>
    <n v="33.499599999999994"/>
  </r>
  <r>
    <x v="146"/>
    <x v="5"/>
    <x v="2"/>
    <n v="560.79999999999995"/>
    <n v="0.17499999999999999"/>
    <x v="0"/>
    <n v="98.139999999999986"/>
  </r>
  <r>
    <x v="147"/>
    <x v="1"/>
    <x v="2"/>
    <n v="311.7"/>
    <n v="0.182"/>
    <x v="0"/>
    <n v="56.729399999999998"/>
  </r>
  <r>
    <x v="148"/>
    <x v="4"/>
    <x v="2"/>
    <n v="184.6"/>
    <n v="0.17499999999999999"/>
    <x v="0"/>
    <n v="32.305"/>
  </r>
  <r>
    <x v="149"/>
    <x v="0"/>
    <x v="2"/>
    <n v="475"/>
    <n v="0.17599999999999999"/>
    <x v="0"/>
    <n v="83.6"/>
  </r>
  <r>
    <x v="50"/>
    <x v="4"/>
    <x v="2"/>
    <n v="189.1"/>
    <n v="0.184"/>
    <x v="1"/>
    <n v="34.794399999999996"/>
  </r>
  <r>
    <x v="148"/>
    <x v="1"/>
    <x v="2"/>
    <n v="153.5"/>
    <n v="0.17799999999999999"/>
    <x v="0"/>
    <n v="27.323"/>
  </r>
  <r>
    <x v="150"/>
    <x v="4"/>
    <x v="2"/>
    <n v="434.2"/>
    <n v="0.17599999999999999"/>
    <x v="1"/>
    <n v="76.419199999999989"/>
  </r>
  <r>
    <x v="151"/>
    <x v="1"/>
    <x v="2"/>
    <n v="356.3"/>
    <n v="0.188"/>
    <x v="1"/>
    <n v="66.984400000000008"/>
  </r>
  <r>
    <x v="152"/>
    <x v="2"/>
    <x v="2"/>
    <n v="329.7"/>
    <n v="0.17799999999999999"/>
    <x v="0"/>
    <n v="58.686599999999999"/>
  </r>
  <r>
    <x v="152"/>
    <x v="2"/>
    <x v="2"/>
    <n v="329.7"/>
    <n v="0.17799999999999999"/>
    <x v="0"/>
    <n v="58.686599999999999"/>
  </r>
  <r>
    <x v="153"/>
    <x v="5"/>
    <x v="2"/>
    <n v="570.9"/>
    <n v="0.17799999999999999"/>
    <x v="3"/>
    <n v="101.6202"/>
  </r>
  <r>
    <x v="128"/>
    <x v="5"/>
    <x v="2"/>
    <n v="624.70000000000005"/>
    <n v="0.17799999999999999"/>
    <x v="1"/>
    <n v="111.1966"/>
  </r>
  <r>
    <x v="154"/>
    <x v="0"/>
    <x v="2"/>
    <n v="84.6"/>
    <n v="0.17399999999999999"/>
    <x v="1"/>
    <n v="14.720399999999998"/>
  </r>
  <r>
    <x v="40"/>
    <x v="1"/>
    <x v="2"/>
    <n v="625.5"/>
    <n v="0.17599999999999999"/>
    <x v="0"/>
    <n v="110.08799999999999"/>
  </r>
  <r>
    <x v="29"/>
    <x v="1"/>
    <x v="2"/>
    <n v="337.8"/>
    <n v="0.183"/>
    <x v="2"/>
    <n v="61.817399999999999"/>
  </r>
  <r>
    <x v="16"/>
    <x v="0"/>
    <x v="2"/>
    <n v="476"/>
    <n v="0.184"/>
    <x v="0"/>
    <n v="87.584000000000003"/>
  </r>
  <r>
    <x v="155"/>
    <x v="1"/>
    <x v="2"/>
    <n v="339.4"/>
    <n v="0.186"/>
    <x v="3"/>
    <n v="63.128399999999992"/>
  </r>
  <r>
    <x v="16"/>
    <x v="2"/>
    <x v="2"/>
    <n v="211.5"/>
    <n v="0.17499999999999999"/>
    <x v="1"/>
    <n v="37.012499999999996"/>
  </r>
  <r>
    <x v="156"/>
    <x v="5"/>
    <x v="2"/>
    <n v="153.9"/>
    <n v="0.184"/>
    <x v="0"/>
    <n v="28.317600000000002"/>
  </r>
  <r>
    <x v="67"/>
    <x v="6"/>
    <x v="2"/>
    <n v="217.6"/>
    <n v="0.17799999999999999"/>
    <x v="0"/>
    <n v="38.732799999999997"/>
  </r>
  <r>
    <x v="157"/>
    <x v="5"/>
    <x v="2"/>
    <n v="540.5"/>
    <n v="0.17599999999999999"/>
    <x v="1"/>
    <n v="95.128"/>
  </r>
  <r>
    <x v="16"/>
    <x v="0"/>
    <x v="2"/>
    <n v="349.4"/>
    <n v="0.182"/>
    <x v="0"/>
    <n v="63.590799999999994"/>
  </r>
  <r>
    <x v="16"/>
    <x v="3"/>
    <x v="2"/>
    <n v="212.1"/>
    <n v="0.189"/>
    <x v="0"/>
    <n v="40.0869"/>
  </r>
  <r>
    <x v="154"/>
    <x v="3"/>
    <x v="2"/>
    <n v="273.3"/>
    <n v="0.17599999999999999"/>
    <x v="2"/>
    <n v="48.1008"/>
  </r>
  <r>
    <x v="16"/>
    <x v="4"/>
    <x v="2"/>
    <n v="427.8"/>
    <n v="0.17100000000000001"/>
    <x v="0"/>
    <n v="73.153800000000004"/>
  </r>
  <r>
    <x v="96"/>
    <x v="2"/>
    <x v="2"/>
    <n v="465.1"/>
    <n v="0.17499999999999999"/>
    <x v="0"/>
    <n v="81.392499999999998"/>
  </r>
  <r>
    <x v="158"/>
    <x v="5"/>
    <x v="2"/>
    <n v="606"/>
    <n v="0.187"/>
    <x v="0"/>
    <n v="113.322"/>
  </r>
  <r>
    <x v="159"/>
    <x v="3"/>
    <x v="2"/>
    <n v="493.3"/>
    <n v="0.184"/>
    <x v="1"/>
    <n v="90.767200000000003"/>
  </r>
  <r>
    <x v="160"/>
    <x v="1"/>
    <x v="2"/>
    <n v="643.4"/>
    <n v="0.18099999999999999"/>
    <x v="0"/>
    <n v="116.4554"/>
  </r>
  <r>
    <x v="16"/>
    <x v="0"/>
    <x v="2"/>
    <n v="263.10000000000002"/>
    <n v="0.185"/>
    <x v="0"/>
    <n v="48.673500000000004"/>
  </r>
  <r>
    <x v="161"/>
    <x v="2"/>
    <x v="2"/>
    <n v="297.3"/>
    <n v="0.186"/>
    <x v="0"/>
    <n v="55.297800000000002"/>
  </r>
  <r>
    <x v="162"/>
    <x v="0"/>
    <x v="2"/>
    <n v="326"/>
    <n v="0.17100000000000001"/>
    <x v="1"/>
    <n v="55.746000000000002"/>
  </r>
  <r>
    <x v="163"/>
    <x v="2"/>
    <x v="2"/>
    <n v="0"/>
    <n v="0.184"/>
    <x v="0"/>
    <n v="0"/>
  </r>
  <r>
    <x v="164"/>
    <x v="3"/>
    <x v="2"/>
    <n v="535.29999999999995"/>
    <n v="0.17499999999999999"/>
    <x v="0"/>
    <n v="93.677499999999981"/>
  </r>
  <r>
    <x v="165"/>
    <x v="0"/>
    <x v="2"/>
    <n v="246.5"/>
    <n v="0.17399999999999999"/>
    <x v="3"/>
    <n v="42.890999999999998"/>
  </r>
  <r>
    <x v="134"/>
    <x v="5"/>
    <x v="2"/>
    <n v="600.29999999999995"/>
    <n v="0.17799999999999999"/>
    <x v="0"/>
    <n v="106.85339999999999"/>
  </r>
  <r>
    <x v="166"/>
    <x v="3"/>
    <x v="2"/>
    <n v="98.7"/>
    <n v="0.18099999999999999"/>
    <x v="1"/>
    <n v="17.864699999999999"/>
  </r>
  <r>
    <x v="167"/>
    <x v="0"/>
    <x v="2"/>
    <n v="274.7"/>
    <n v="0.17299999999999999"/>
    <x v="0"/>
    <n v="47.523099999999992"/>
  </r>
  <r>
    <x v="168"/>
    <x v="3"/>
    <x v="2"/>
    <n v="243.9"/>
    <n v="0"/>
    <x v="0"/>
    <n v="0"/>
  </r>
  <r>
    <x v="169"/>
    <x v="1"/>
    <x v="2"/>
    <n v="10022"/>
    <n v="0.187"/>
    <x v="0"/>
    <n v="1874.114"/>
  </r>
  <r>
    <x v="170"/>
    <x v="0"/>
    <x v="2"/>
    <n v="349.7"/>
    <n v="0.17799999999999999"/>
    <x v="1"/>
    <n v="62.246599999999994"/>
  </r>
  <r>
    <x v="39"/>
    <x v="2"/>
    <x v="2"/>
    <n v="183.7"/>
    <n v="0.18099999999999999"/>
    <x v="1"/>
    <n v="33.249699999999997"/>
  </r>
  <r>
    <x v="171"/>
    <x v="3"/>
    <x v="2"/>
    <n v="0"/>
    <n v="0.188"/>
    <x v="0"/>
    <n v="0"/>
  </r>
  <r>
    <x v="159"/>
    <x v="3"/>
    <x v="2"/>
    <n v="374.3"/>
    <n v="0.185"/>
    <x v="1"/>
    <n v="69.245500000000007"/>
  </r>
  <r>
    <x v="172"/>
    <x v="5"/>
    <x v="2"/>
    <n v="163.4"/>
    <n v="0.17499999999999999"/>
    <x v="1"/>
    <n v="28.594999999999999"/>
  </r>
  <r>
    <x v="141"/>
    <x v="3"/>
    <x v="2"/>
    <n v="205"/>
    <n v="0.18"/>
    <x v="0"/>
    <n v="36.9"/>
  </r>
  <r>
    <x v="173"/>
    <x v="3"/>
    <x v="2"/>
    <n v="543.79999999999995"/>
    <n v="0.184"/>
    <x v="3"/>
    <n v="100.05919999999999"/>
  </r>
  <r>
    <x v="174"/>
    <x v="2"/>
    <x v="2"/>
    <n v="625.79999999999995"/>
    <n v="0.186"/>
    <x v="0"/>
    <n v="116.39879999999999"/>
  </r>
  <r>
    <x v="175"/>
    <x v="0"/>
    <x v="2"/>
    <n v="359.6"/>
    <n v="0.183"/>
    <x v="0"/>
    <n v="65.80680000000001"/>
  </r>
  <r>
    <x v="176"/>
    <x v="0"/>
    <x v="2"/>
    <n v="635"/>
    <n v="0.17599999999999999"/>
    <x v="2"/>
    <n v="111.75999999999999"/>
  </r>
  <r>
    <x v="177"/>
    <x v="2"/>
    <x v="2"/>
    <n v="344.5"/>
    <n v="0.184"/>
    <x v="2"/>
    <n v="63.387999999999998"/>
  </r>
  <r>
    <x v="178"/>
    <x v="1"/>
    <x v="2"/>
    <n v="444.8"/>
    <n v="0.187"/>
    <x v="0"/>
    <n v="83.177599999999998"/>
  </r>
  <r>
    <x v="179"/>
    <x v="6"/>
    <x v="2"/>
    <n v="540.79999999999995"/>
    <n v="0.182"/>
    <x v="0"/>
    <n v="98.425599999999989"/>
  </r>
  <r>
    <x v="16"/>
    <x v="5"/>
    <x v="2"/>
    <n v="563.20000000000005"/>
    <n v="0"/>
    <x v="0"/>
    <n v="0"/>
  </r>
  <r>
    <x v="180"/>
    <x v="4"/>
    <x v="2"/>
    <n v="597.29999999999995"/>
    <n v="0.17399999999999999"/>
    <x v="0"/>
    <n v="103.93019999999999"/>
  </r>
  <r>
    <x v="181"/>
    <x v="0"/>
    <x v="2"/>
    <n v="83.4"/>
    <n v="0.187"/>
    <x v="0"/>
    <n v="15.595800000000001"/>
  </r>
  <r>
    <x v="182"/>
    <x v="0"/>
    <x v="2"/>
    <n v="0"/>
    <n v="0.188"/>
    <x v="0"/>
    <n v="0"/>
  </r>
  <r>
    <x v="97"/>
    <x v="0"/>
    <x v="2"/>
    <n v="431.7"/>
    <n v="0.18099999999999999"/>
    <x v="0"/>
    <n v="78.137699999999995"/>
  </r>
  <r>
    <x v="10"/>
    <x v="1"/>
    <x v="2"/>
    <n v="173.2"/>
    <n v="0.17100000000000001"/>
    <x v="0"/>
    <n v="29.6172"/>
  </r>
  <r>
    <x v="163"/>
    <x v="1"/>
    <x v="2"/>
    <n v="81"/>
    <n v="0.17499999999999999"/>
    <x v="2"/>
    <n v="14.174999999999999"/>
  </r>
  <r>
    <x v="149"/>
    <x v="3"/>
    <x v="2"/>
    <n v="257"/>
    <n v="0.17199999999999999"/>
    <x v="0"/>
    <n v="44.203999999999994"/>
  </r>
  <r>
    <x v="183"/>
    <x v="6"/>
    <x v="2"/>
    <n v="100.5"/>
    <n v="0.185"/>
    <x v="0"/>
    <n v="18.592500000000001"/>
  </r>
  <r>
    <x v="159"/>
    <x v="2"/>
    <x v="2"/>
    <n v="231.8"/>
    <n v="0.17299999999999999"/>
    <x v="0"/>
    <n v="40.101399999999998"/>
  </r>
  <r>
    <x v="147"/>
    <x v="0"/>
    <x v="2"/>
    <n v="133.69999999999999"/>
    <n v="0.185"/>
    <x v="0"/>
    <n v="24.734499999999997"/>
  </r>
  <r>
    <x v="76"/>
    <x v="2"/>
    <x v="2"/>
    <n v="640.70000000000005"/>
    <n v="0.17100000000000001"/>
    <x v="1"/>
    <n v="109.55970000000002"/>
  </r>
  <r>
    <x v="184"/>
    <x v="1"/>
    <x v="2"/>
    <n v="510.9"/>
    <n v="0.18"/>
    <x v="1"/>
    <n v="91.961999999999989"/>
  </r>
  <r>
    <x v="185"/>
    <x v="6"/>
    <x v="2"/>
    <n v="528.20000000000005"/>
    <n v="0.17399999999999999"/>
    <x v="3"/>
    <n v="91.906800000000004"/>
  </r>
  <r>
    <x v="186"/>
    <x v="0"/>
    <x v="2"/>
    <n v="126.2"/>
    <n v="0.182"/>
    <x v="0"/>
    <n v="22.968399999999999"/>
  </r>
  <r>
    <x v="187"/>
    <x v="5"/>
    <x v="2"/>
    <n v="597.9"/>
    <n v="-10"/>
    <x v="0"/>
    <n v="-5979"/>
  </r>
  <r>
    <x v="188"/>
    <x v="0"/>
    <x v="2"/>
    <n v="166.7"/>
    <n v="0.17199999999999999"/>
    <x v="0"/>
    <n v="28.672399999999996"/>
  </r>
  <r>
    <x v="189"/>
    <x v="5"/>
    <x v="2"/>
    <n v="322.7"/>
    <n v="0.183"/>
    <x v="0"/>
    <n v="59.054099999999998"/>
  </r>
  <r>
    <x v="190"/>
    <x v="0"/>
    <x v="2"/>
    <n v="579.6"/>
    <n v="0.17100000000000001"/>
    <x v="1"/>
    <n v="99.11160000000001"/>
  </r>
  <r>
    <x v="127"/>
    <x v="3"/>
    <x v="2"/>
    <n v="191.2"/>
    <n v="0.17899999999999999"/>
    <x v="0"/>
    <n v="34.224799999999995"/>
  </r>
  <r>
    <x v="164"/>
    <x v="2"/>
    <x v="2"/>
    <n v="10008"/>
    <n v="0.188"/>
    <x v="0"/>
    <n v="1881.5039999999999"/>
  </r>
  <r>
    <x v="11"/>
    <x v="1"/>
    <x v="2"/>
    <n v="117.1"/>
    <n v="0.18099999999999999"/>
    <x v="2"/>
    <n v="21.1951"/>
  </r>
  <r>
    <x v="191"/>
    <x v="0"/>
    <x v="2"/>
    <n v="176.2"/>
    <n v="0.187"/>
    <x v="2"/>
    <n v="32.949399999999997"/>
  </r>
  <r>
    <x v="192"/>
    <x v="2"/>
    <x v="2"/>
    <n v="112.4"/>
    <n v="0"/>
    <x v="0"/>
    <n v="0"/>
  </r>
  <r>
    <x v="193"/>
    <x v="0"/>
    <x v="2"/>
    <n v="341.3"/>
    <n v="0.17899999999999999"/>
    <x v="0"/>
    <n v="61.092700000000001"/>
  </r>
  <r>
    <x v="16"/>
    <x v="3"/>
    <x v="2"/>
    <n v="361.5"/>
    <n v="0.17799999999999999"/>
    <x v="2"/>
    <n v="64.346999999999994"/>
  </r>
  <r>
    <x v="194"/>
    <x v="1"/>
    <x v="2"/>
    <n v="295.60000000000002"/>
    <n v="0.18099999999999999"/>
    <x v="0"/>
    <n v="53.503600000000006"/>
  </r>
  <r>
    <x v="85"/>
    <x v="0"/>
    <x v="2"/>
    <n v="563.29999999999995"/>
    <n v="0.183"/>
    <x v="0"/>
    <n v="103.08389999999999"/>
  </r>
  <r>
    <x v="195"/>
    <x v="0"/>
    <x v="2"/>
    <n v="268.3"/>
    <n v="0.183"/>
    <x v="3"/>
    <n v="49.0989"/>
  </r>
  <r>
    <x v="195"/>
    <x v="0"/>
    <x v="2"/>
    <n v="268.3"/>
    <n v="0.183"/>
    <x v="3"/>
    <n v="49.0989"/>
  </r>
  <r>
    <x v="196"/>
    <x v="4"/>
    <x v="2"/>
    <n v="234.4"/>
    <n v="0.17399999999999999"/>
    <x v="0"/>
    <n v="40.785599999999995"/>
  </r>
  <r>
    <x v="197"/>
    <x v="2"/>
    <x v="2"/>
    <n v="178.4"/>
    <n v="0.18"/>
    <x v="0"/>
    <n v="32.112000000000002"/>
  </r>
  <r>
    <x v="198"/>
    <x v="0"/>
    <x v="2"/>
    <n v="401.8"/>
    <n v="0.184"/>
    <x v="0"/>
    <n v="73.931200000000004"/>
  </r>
  <r>
    <x v="199"/>
    <x v="0"/>
    <x v="2"/>
    <n v="141.1"/>
    <n v="0.17299999999999999"/>
    <x v="0"/>
    <n v="24.410299999999996"/>
  </r>
  <r>
    <x v="200"/>
    <x v="3"/>
    <x v="2"/>
    <n v="308.10000000000002"/>
    <n v="0.188"/>
    <x v="3"/>
    <n v="57.922800000000002"/>
  </r>
  <r>
    <x v="201"/>
    <x v="0"/>
    <x v="2"/>
    <n v="0"/>
    <n v="0.184"/>
    <x v="3"/>
    <n v="0"/>
  </r>
  <r>
    <x v="202"/>
    <x v="2"/>
    <x v="2"/>
    <n v="244.7"/>
    <n v="0.17899999999999999"/>
    <x v="0"/>
    <n v="43.801299999999998"/>
  </r>
  <r>
    <x v="203"/>
    <x v="5"/>
    <x v="2"/>
    <n v="185.5"/>
    <n v="0.183"/>
    <x v="0"/>
    <n v="33.9465"/>
  </r>
  <r>
    <x v="190"/>
    <x v="5"/>
    <x v="2"/>
    <n v="92.9"/>
    <n v="0.17399999999999999"/>
    <x v="0"/>
    <n v="16.1646"/>
  </r>
  <r>
    <x v="155"/>
    <x v="1"/>
    <x v="2"/>
    <n v="140"/>
    <n v="0.187"/>
    <x v="3"/>
    <n v="26.18"/>
  </r>
  <r>
    <x v="188"/>
    <x v="1"/>
    <x v="2"/>
    <n v="283.89999999999998"/>
    <n v="0.184"/>
    <x v="0"/>
    <n v="52.237599999999993"/>
  </r>
  <r>
    <x v="160"/>
    <x v="3"/>
    <x v="2"/>
    <n v="643.20000000000005"/>
    <n v="0.17499999999999999"/>
    <x v="2"/>
    <n v="112.56"/>
  </r>
  <r>
    <x v="204"/>
    <x v="5"/>
    <x v="2"/>
    <n v="175.7"/>
    <n v="0"/>
    <x v="0"/>
    <n v="0"/>
  </r>
  <r>
    <x v="205"/>
    <x v="5"/>
    <x v="2"/>
    <n v="133.5"/>
    <n v="0.17499999999999999"/>
    <x v="0"/>
    <n v="23.362499999999997"/>
  </r>
  <r>
    <x v="206"/>
    <x v="5"/>
    <x v="2"/>
    <n v="359.2"/>
    <n v="0.17799999999999999"/>
    <x v="0"/>
    <n v="63.937599999999996"/>
  </r>
  <r>
    <x v="207"/>
    <x v="0"/>
    <x v="2"/>
    <n v="445.4"/>
    <n v="0.17199999999999999"/>
    <x v="1"/>
    <n v="76.608799999999988"/>
  </r>
  <r>
    <x v="66"/>
    <x v="0"/>
    <x v="2"/>
    <n v="572"/>
    <n v="0.17399999999999999"/>
    <x v="0"/>
    <n v="99.527999999999992"/>
  </r>
  <r>
    <x v="208"/>
    <x v="5"/>
    <x v="3"/>
    <n v="102.6"/>
    <n v="0.184"/>
    <x v="1"/>
    <n v="18.878399999999999"/>
  </r>
  <r>
    <x v="209"/>
    <x v="0"/>
    <x v="3"/>
    <n v="1967.8"/>
    <n v="0.254"/>
    <x v="0"/>
    <n v="499.82119999999998"/>
  </r>
  <r>
    <x v="210"/>
    <x v="0"/>
    <x v="3"/>
    <n v="528.4"/>
    <n v="0.17899999999999999"/>
    <x v="0"/>
    <n v="94.58359999999999"/>
  </r>
  <r>
    <x v="9"/>
    <x v="5"/>
    <x v="3"/>
    <n v="277.2"/>
    <n v="0.17899999999999999"/>
    <x v="1"/>
    <n v="49.618799999999993"/>
  </r>
  <r>
    <x v="211"/>
    <x v="0"/>
    <x v="3"/>
    <n v="333.2"/>
    <n v="0"/>
    <x v="3"/>
    <n v="0"/>
  </r>
  <r>
    <x v="184"/>
    <x v="2"/>
    <x v="3"/>
    <n v="163"/>
    <n v="0.185"/>
    <x v="0"/>
    <n v="30.155000000000001"/>
  </r>
  <r>
    <x v="139"/>
    <x v="0"/>
    <x v="3"/>
    <n v="651.29999999999995"/>
    <n v="0.23100000000000001"/>
    <x v="0"/>
    <n v="150.4503"/>
  </r>
  <r>
    <x v="212"/>
    <x v="0"/>
    <x v="3"/>
    <n v="2133.9"/>
    <n v="0.22500000000000001"/>
    <x v="0"/>
    <n v="480.12750000000005"/>
  </r>
  <r>
    <x v="183"/>
    <x v="3"/>
    <x v="3"/>
    <n v="1907.7"/>
    <n v="0.26100000000000001"/>
    <x v="0"/>
    <n v="497.90970000000004"/>
  </r>
  <r>
    <x v="213"/>
    <x v="0"/>
    <x v="3"/>
    <n v="392.9"/>
    <n v="0.187"/>
    <x v="0"/>
    <n v="73.47229999999999"/>
  </r>
  <r>
    <x v="24"/>
    <x v="0"/>
    <x v="3"/>
    <n v="2073.9"/>
    <n v="0.22"/>
    <x v="0"/>
    <n v="456.25800000000004"/>
  </r>
  <r>
    <x v="180"/>
    <x v="4"/>
    <x v="3"/>
    <n v="592.70000000000005"/>
    <n v="0.17699999999999999"/>
    <x v="0"/>
    <n v="104.9079"/>
  </r>
  <r>
    <x v="214"/>
    <x v="5"/>
    <x v="3"/>
    <n v="144.4"/>
    <n v="0.18"/>
    <x v="1"/>
    <n v="25.992000000000001"/>
  </r>
  <r>
    <x v="215"/>
    <x v="2"/>
    <x v="3"/>
    <n v="3446.1"/>
    <n v="0.252"/>
    <x v="3"/>
    <n v="868.41719999999998"/>
  </r>
  <r>
    <x v="76"/>
    <x v="4"/>
    <x v="3"/>
    <n v="699.7"/>
    <n v="0.223"/>
    <x v="1"/>
    <n v="156.03310000000002"/>
  </r>
  <r>
    <x v="205"/>
    <x v="5"/>
    <x v="3"/>
    <n v="989.4"/>
    <n v="0.223"/>
    <x v="1"/>
    <n v="220.6362"/>
  </r>
  <r>
    <x v="117"/>
    <x v="0"/>
    <x v="3"/>
    <n v="529.70000000000005"/>
    <n v="0.186"/>
    <x v="1"/>
    <n v="98.524200000000008"/>
  </r>
  <r>
    <x v="10"/>
    <x v="3"/>
    <x v="3"/>
    <n v="4843.1000000000004"/>
    <n v="0.253"/>
    <x v="0"/>
    <n v="1225.3043"/>
  </r>
  <r>
    <x v="216"/>
    <x v="7"/>
    <x v="4"/>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s v="MTR0003"/>
    <x v="0"/>
    <x v="0"/>
    <s v="Commercial"/>
    <n v="1955.8"/>
    <n v="0.21199999999999999"/>
    <s v="Paid"/>
    <n v="414.62959999999998"/>
  </r>
  <r>
    <s v="MTR0004"/>
    <x v="1"/>
    <x v="1"/>
    <s v="Commercial"/>
    <n v="1900.5"/>
    <n v="0.22500000000000001"/>
    <s v="Paid"/>
    <n v="427.61250000000001"/>
  </r>
  <r>
    <s v="MTR0005"/>
    <x v="2"/>
    <x v="2"/>
    <s v="Commercial"/>
    <n v="1713.4"/>
    <n v="0.216"/>
    <s v="Paid"/>
    <n v="370.09440000000001"/>
  </r>
  <r>
    <s v="MTR0014"/>
    <x v="3"/>
    <x v="0"/>
    <s v="Commercial"/>
    <n v="0"/>
    <n v="0.22800000000000001"/>
    <s v="Pending"/>
    <n v="0"/>
  </r>
  <r>
    <s v="MTR0015"/>
    <x v="4"/>
    <x v="1"/>
    <s v="Commercial"/>
    <n v="2125"/>
    <n v="0.215"/>
    <s v="non_pay"/>
    <n v="456.875"/>
  </r>
  <r>
    <s v="MTR0017"/>
    <x v="5"/>
    <x v="1"/>
    <s v="Commercial"/>
    <n v="850.9"/>
    <n v="0.216"/>
    <s v="Paid"/>
    <n v="183.7944"/>
  </r>
  <r>
    <s v="MTR0020"/>
    <x v="6"/>
    <x v="0"/>
    <s v="Commercial"/>
    <n v="1492.5"/>
    <n v="0.223"/>
    <s v="Paid"/>
    <n v="332.82749999999999"/>
  </r>
  <r>
    <s v="MTR0023"/>
    <x v="7"/>
    <x v="0"/>
    <s v="Commercial"/>
    <n v="1294.0999999999999"/>
    <n v="0.20899999999999999"/>
    <s v="Paid"/>
    <n v="270.46689999999995"/>
  </r>
  <r>
    <s v="MTR0028"/>
    <x v="8"/>
    <x v="0"/>
    <s v="Commercial"/>
    <n v="2003.7"/>
    <n v="0.214"/>
    <s v="Paid"/>
    <n v="428.79180000000002"/>
  </r>
  <r>
    <s v="MTR0029"/>
    <x v="9"/>
    <x v="3"/>
    <s v="Commercial"/>
    <n v="693.1"/>
    <n v="0.221"/>
    <s v="Paid"/>
    <n v="153.17510000000001"/>
  </r>
  <r>
    <s v="MTR0036"/>
    <x v="10"/>
    <x v="3"/>
    <s v="Commercial"/>
    <n v="2118.5"/>
    <n v="0.221"/>
    <s v="Paid"/>
    <n v="468.18849999999998"/>
  </r>
  <r>
    <s v="MTR0046"/>
    <x v="11"/>
    <x v="4"/>
    <s v="Commercial"/>
    <n v="1782"/>
    <n v="0.23"/>
    <s v="Pending"/>
    <n v="409.86"/>
  </r>
  <r>
    <s v="MTR0053"/>
    <x v="12"/>
    <x v="3"/>
    <s v="Commercial"/>
    <n v="1307.3"/>
    <n v="0.217"/>
    <s v="Pending"/>
    <n v="283.6841"/>
  </r>
  <r>
    <s v="MTR0054"/>
    <x v="13"/>
    <x v="5"/>
    <s v="Commercial"/>
    <n v="1878.9"/>
    <n v="0.21299999999999999"/>
    <s v="Paid"/>
    <n v="400.20570000000004"/>
  </r>
  <r>
    <s v="MTR0062"/>
    <x v="14"/>
    <x v="2"/>
    <s v="Commercial"/>
    <n v="2015.9"/>
    <n v="0.22900000000000001"/>
    <s v="Overdue"/>
    <n v="461.64110000000005"/>
  </r>
  <r>
    <s v="MTR0064"/>
    <x v="15"/>
    <x v="0"/>
    <s v="Commercial"/>
    <n v="915.9"/>
    <n v="0.22700000000000001"/>
    <s v="Paid"/>
    <n v="207.9093"/>
  </r>
  <r>
    <s v="MTR0076"/>
    <x v="16"/>
    <x v="4"/>
    <s v="Commercial"/>
    <n v="745.8"/>
    <n v="0.21"/>
    <s v="Pending"/>
    <n v="156.61799999999999"/>
  </r>
  <r>
    <s v="MTR0077"/>
    <x v="17"/>
    <x v="5"/>
    <s v="Commercial"/>
    <n v="2079.1"/>
    <n v="0.22800000000000001"/>
    <s v="Paid"/>
    <n v="474.03480000000002"/>
  </r>
  <r>
    <s v="MTR0081"/>
    <x v="18"/>
    <x v="6"/>
    <s v="Commercial"/>
    <n v="1936.9"/>
    <n v="0.223"/>
    <s v="Overdue"/>
    <n v="431.92870000000005"/>
  </r>
  <r>
    <s v="MTR0087"/>
    <x v="19"/>
    <x v="0"/>
    <s v="Commercial"/>
    <n v="1250.4000000000001"/>
    <n v="0.21"/>
    <s v="non_pay"/>
    <n v="262.584"/>
  </r>
  <r>
    <s v="MTR0090"/>
    <x v="16"/>
    <x v="5"/>
    <s v="Commercial"/>
    <n v="1472"/>
    <n v="0.219"/>
    <s v="Paid"/>
    <n v="322.36799999999999"/>
  </r>
  <r>
    <s v="MTR0095"/>
    <x v="20"/>
    <x v="1"/>
    <s v="Commercial"/>
    <n v="578.20000000000005"/>
    <n v="0.22900000000000001"/>
    <s v="Paid"/>
    <n v="132.40780000000001"/>
  </r>
  <r>
    <s v="MTR0106"/>
    <x v="21"/>
    <x v="1"/>
    <s v="Commercial"/>
    <n v="1548.9"/>
    <n v="0.21299999999999999"/>
    <s v="Overdue"/>
    <n v="329.91570000000002"/>
  </r>
  <r>
    <s v="MTR0107"/>
    <x v="22"/>
    <x v="4"/>
    <s v="Commercial"/>
    <n v="1549.2"/>
    <n v="0.21"/>
    <s v="Pending"/>
    <n v="325.33199999999999"/>
  </r>
  <r>
    <s v="MTR0109"/>
    <x v="23"/>
    <x v="5"/>
    <s v="Commercial"/>
    <n v="537.70000000000005"/>
    <n v="0.16"/>
    <s v="Paid"/>
    <n v="86.032000000000011"/>
  </r>
  <r>
    <s v="MTR0115"/>
    <x v="24"/>
    <x v="5"/>
    <s v="Commercial"/>
    <n v="766.1"/>
    <n v="0.22900000000000001"/>
    <s v="Paid"/>
    <n v="175.43690000000001"/>
  </r>
  <r>
    <s v="MTR0118"/>
    <x v="25"/>
    <x v="0"/>
    <s v="Commercial"/>
    <n v="685.2"/>
    <n v="0.22800000000000001"/>
    <s v="Overdue"/>
    <n v="156.22560000000001"/>
  </r>
  <r>
    <s v="MTR0120"/>
    <x v="26"/>
    <x v="3"/>
    <s v="Commercial"/>
    <n v="1249.2"/>
    <n v="0.215"/>
    <s v="Pending"/>
    <n v="268.57800000000003"/>
  </r>
  <r>
    <s v="MTR0133"/>
    <x v="27"/>
    <x v="1"/>
    <s v="Commercial"/>
    <n v="1085.4000000000001"/>
    <n v="0.224"/>
    <s v="Paid"/>
    <n v="243.12960000000004"/>
  </r>
  <r>
    <s v="MTR0135"/>
    <x v="28"/>
    <x v="0"/>
    <s v="Commercial"/>
    <n v="1428"/>
    <n v="0.219"/>
    <s v="Overdue"/>
    <n v="312.73200000000003"/>
  </r>
  <r>
    <s v="MTR0139"/>
    <x v="29"/>
    <x v="0"/>
    <s v="Commercial"/>
    <n v="1831.7"/>
    <n v="0"/>
    <s v="Paid"/>
    <n v="0"/>
  </r>
  <r>
    <s v="MTR0140"/>
    <x v="30"/>
    <x v="6"/>
    <s v="Commercial"/>
    <n v="1869.4"/>
    <n v="0.22500000000000001"/>
    <s v="Paid"/>
    <n v="420.61500000000001"/>
  </r>
  <r>
    <s v="MTR0141"/>
    <x v="31"/>
    <x v="5"/>
    <s v="Commercial"/>
    <n v="0"/>
    <n v="0.21299999999999999"/>
    <s v="Paid"/>
    <n v="0"/>
  </r>
  <r>
    <s v="MTR0142"/>
    <x v="32"/>
    <x v="5"/>
    <s v="Commercial"/>
    <n v="496.2"/>
    <n v="0.21299999999999999"/>
    <s v="non_pay"/>
    <n v="105.69059999999999"/>
  </r>
  <r>
    <s v="MTR0146"/>
    <x v="33"/>
    <x v="4"/>
    <s v="Commercial"/>
    <n v="1768.6"/>
    <n v="0.218"/>
    <s v="Pending"/>
    <n v="385.5548"/>
  </r>
  <r>
    <s v="MTR0147"/>
    <x v="34"/>
    <x v="3"/>
    <s v="Commercial"/>
    <n v="1984.8"/>
    <n v="0.22"/>
    <s v="Paid"/>
    <n v="436.65600000000001"/>
  </r>
  <r>
    <s v="MTR0155"/>
    <x v="35"/>
    <x v="3"/>
    <s v="Commercial"/>
    <n v="0"/>
    <n v="0.22600000000000001"/>
    <s v="Pending"/>
    <n v="0"/>
  </r>
  <r>
    <s v="MTR0157"/>
    <x v="36"/>
    <x v="5"/>
    <s v="Commercial"/>
    <n v="1150.9000000000001"/>
    <n v="0.214"/>
    <s v="Paid"/>
    <n v="246.29260000000002"/>
  </r>
  <r>
    <s v="MTR0161"/>
    <x v="37"/>
    <x v="0"/>
    <s v="Commercial"/>
    <n v="1769.6"/>
    <n v="0.22700000000000001"/>
    <s v="Paid"/>
    <n v="401.69920000000002"/>
  </r>
  <r>
    <s v="MTR0162"/>
    <x v="38"/>
    <x v="0"/>
    <s v="Commercial"/>
    <n v="0"/>
    <n v="0.216"/>
    <s v="Pending"/>
    <n v="0"/>
  </r>
  <r>
    <s v="MTR0164"/>
    <x v="39"/>
    <x v="2"/>
    <s v="Commercial"/>
    <n v="1260.0999999999999"/>
    <n v="0.224"/>
    <s v="Pending"/>
    <n v="282.26240000000001"/>
  </r>
  <r>
    <s v="MTR0177"/>
    <x v="40"/>
    <x v="0"/>
    <s v="Commercial"/>
    <n v="1411.3"/>
    <n v="0.22"/>
    <s v="Paid"/>
    <n v="310.48599999999999"/>
  </r>
  <r>
    <s v="MTR0178"/>
    <x v="41"/>
    <x v="0"/>
    <s v="Commercial"/>
    <n v="1919.3"/>
    <n v="0.222"/>
    <s v="Paid"/>
    <n v="426.08460000000002"/>
  </r>
  <r>
    <s v="MTR0185"/>
    <x v="16"/>
    <x v="0"/>
    <s v="Commercial"/>
    <n v="1200.8"/>
    <n v="0.218"/>
    <s v="Paid"/>
    <n v="261.77440000000001"/>
  </r>
  <r>
    <s v="MTR0193"/>
    <x v="16"/>
    <x v="3"/>
    <s v="Commercial"/>
    <n v="941.9"/>
    <n v="0.218"/>
    <s v="Paid"/>
    <n v="205.33419999999998"/>
  </r>
  <r>
    <s v="MTR0196"/>
    <x v="42"/>
    <x v="5"/>
    <s v="Commercial"/>
    <n v="1065.7"/>
    <n v="0.23100000000000001"/>
    <s v="Overdue"/>
    <n v="246.17670000000001"/>
  </r>
  <r>
    <s v="MTR0199"/>
    <x v="43"/>
    <x v="0"/>
    <s v="Commercial"/>
    <n v="1915.3"/>
    <n v="0.218"/>
    <s v="Paid"/>
    <n v="417.53539999999998"/>
  </r>
  <r>
    <s v="MTR0200"/>
    <x v="44"/>
    <x v="0"/>
    <s v="Commercial"/>
    <n v="1433.7"/>
    <n v="0.22"/>
    <s v="Paid"/>
    <n v="315.41399999999999"/>
  </r>
  <r>
    <s v="MTR0205"/>
    <x v="45"/>
    <x v="3"/>
    <s v="Commercial"/>
    <n v="2025.6"/>
    <n v="0.223"/>
    <s v="Overdue"/>
    <n v="451.7088"/>
  </r>
  <r>
    <s v="MTR0208"/>
    <x v="46"/>
    <x v="0"/>
    <s v="Commercial"/>
    <n v="818.9"/>
    <n v="0.21299999999999999"/>
    <s v="Paid"/>
    <n v="174.42569999999998"/>
  </r>
  <r>
    <s v="MTR0210"/>
    <x v="47"/>
    <x v="0"/>
    <s v="Commercial"/>
    <n v="2187.8000000000002"/>
    <n v="0"/>
    <s v="Paid"/>
    <n v="0"/>
  </r>
  <r>
    <s v="MTR0215"/>
    <x v="48"/>
    <x v="0"/>
    <s v="Commercial"/>
    <n v="1522.7"/>
    <n v="0.223"/>
    <s v="Pending"/>
    <n v="339.56210000000004"/>
  </r>
  <r>
    <s v="MTR0217"/>
    <x v="49"/>
    <x v="4"/>
    <s v="Commercial"/>
    <n v="919.4"/>
    <n v="0"/>
    <s v="Overdue"/>
    <n v="0"/>
  </r>
  <r>
    <s v="MTR0219"/>
    <x v="50"/>
    <x v="0"/>
    <s v="Commercial"/>
    <n v="545.5"/>
    <n v="0.22600000000000001"/>
    <s v="Paid"/>
    <n v="123.283"/>
  </r>
  <r>
    <s v="MTR0222"/>
    <x v="51"/>
    <x v="5"/>
    <s v="Commercial"/>
    <n v="2109.5"/>
    <n v="0.22900000000000001"/>
    <s v="Pending"/>
    <n v="483.07550000000003"/>
  </r>
  <r>
    <s v="MTR0226"/>
    <x v="52"/>
    <x v="0"/>
    <s v="Commercial"/>
    <n v="539"/>
    <n v="0.215"/>
    <s v="Paid"/>
    <n v="115.88500000000001"/>
  </r>
  <r>
    <s v="MTR0227"/>
    <x v="53"/>
    <x v="1"/>
    <s v="Commercial"/>
    <n v="1820.1"/>
    <n v="0"/>
    <s v="Pending"/>
    <n v="0"/>
  </r>
  <r>
    <s v="MTR0229"/>
    <x v="54"/>
    <x v="5"/>
    <s v="Commercial"/>
    <n v="1162.3"/>
    <n v="0.218"/>
    <s v="Paid"/>
    <n v="253.38139999999999"/>
  </r>
  <r>
    <s v="MTR0235"/>
    <x v="16"/>
    <x v="0"/>
    <s v="Commercial"/>
    <n v="405.1"/>
    <n v="0.224"/>
    <s v="Pending"/>
    <n v="90.742400000000004"/>
  </r>
  <r>
    <s v="MTR0236"/>
    <x v="10"/>
    <x v="5"/>
    <s v="Commercial"/>
    <n v="994.4"/>
    <n v="0.224"/>
    <s v="Paid"/>
    <n v="222.7456"/>
  </r>
  <r>
    <s v="MTR0239"/>
    <x v="55"/>
    <x v="1"/>
    <s v="Commercial"/>
    <n v="2009.8"/>
    <n v="0.23100000000000001"/>
    <s v="Paid"/>
    <n v="464.2638"/>
  </r>
  <r>
    <s v="MTR0252"/>
    <x v="56"/>
    <x v="0"/>
    <s v="Commercial"/>
    <n v="498.5"/>
    <n v="0.22600000000000001"/>
    <s v="Pending"/>
    <n v="112.661"/>
  </r>
  <r>
    <s v="MTR0253"/>
    <x v="57"/>
    <x v="2"/>
    <s v="Commercial"/>
    <n v="1789.7"/>
    <n v="0"/>
    <s v="Paid"/>
    <n v="0"/>
  </r>
  <r>
    <s v="MTR0255"/>
    <x v="58"/>
    <x v="5"/>
    <s v="Commercial"/>
    <n v="0"/>
    <n v="0.217"/>
    <s v="Paid"/>
    <n v="0"/>
  </r>
  <r>
    <s v="MTR0256"/>
    <x v="16"/>
    <x v="3"/>
    <s v="Commercial"/>
    <n v="995.1"/>
    <n v="0.219"/>
    <s v="non_pay"/>
    <n v="217.92690000000002"/>
  </r>
  <r>
    <s v="MTR0258"/>
    <x v="59"/>
    <x v="5"/>
    <s v="Commercial"/>
    <n v="977.5"/>
    <n v="0.21099999999999999"/>
    <s v="Paid"/>
    <n v="206.2525"/>
  </r>
  <r>
    <s v="MTR0259"/>
    <x v="60"/>
    <x v="0"/>
    <s v="Commercial"/>
    <n v="1052"/>
    <n v="0"/>
    <s v="Pending"/>
    <n v="0"/>
  </r>
  <r>
    <s v="MTR0263"/>
    <x v="61"/>
    <x v="4"/>
    <s v="Commercial"/>
    <n v="855.8"/>
    <n v="0.21"/>
    <s v="Paid"/>
    <n v="179.71799999999999"/>
  </r>
  <r>
    <s v="MTR0264"/>
    <x v="62"/>
    <x v="5"/>
    <s v="Commercial"/>
    <n v="1920"/>
    <n v="0.224"/>
    <s v="Paid"/>
    <n v="430.08"/>
  </r>
  <r>
    <s v="MTR0266"/>
    <x v="63"/>
    <x v="5"/>
    <s v="Commercial"/>
    <n v="1036"/>
    <n v="0.21199999999999999"/>
    <s v="Paid"/>
    <n v="219.63200000000001"/>
  </r>
  <r>
    <s v="MTR0275"/>
    <x v="64"/>
    <x v="0"/>
    <s v="Commercial"/>
    <n v="1205.2"/>
    <n v="0.21299999999999999"/>
    <s v="Paid"/>
    <n v="256.70760000000001"/>
  </r>
  <r>
    <s v="MTR0286"/>
    <x v="65"/>
    <x v="1"/>
    <s v="Commercial"/>
    <n v="1425.9"/>
    <n v="0.217"/>
    <s v="Paid"/>
    <n v="309.4203"/>
  </r>
  <r>
    <s v="MTR0287"/>
    <x v="66"/>
    <x v="5"/>
    <s v="Commercial"/>
    <n v="1629.4"/>
    <n v="0.21299999999999999"/>
    <s v="Overdue"/>
    <n v="347.06220000000002"/>
  </r>
  <r>
    <s v="MTR0288"/>
    <x v="67"/>
    <x v="2"/>
    <s v="Commercial"/>
    <n v="926"/>
    <n v="0.22800000000000001"/>
    <s v="Paid"/>
    <n v="211.12800000000001"/>
  </r>
  <r>
    <s v="MTR0289"/>
    <x v="68"/>
    <x v="0"/>
    <s v="Commercial"/>
    <n v="1804.5"/>
    <n v="0.217"/>
    <s v="Paid"/>
    <n v="391.57650000000001"/>
  </r>
  <r>
    <s v="MTR0010"/>
    <x v="69"/>
    <x v="3"/>
    <s v="Industrial"/>
    <n v="0"/>
    <n v="0.24299999999999999"/>
    <s v="Paid"/>
    <n v="0"/>
  </r>
  <r>
    <s v="MTR0039"/>
    <x v="4"/>
    <x v="0"/>
    <s v="Industrial"/>
    <n v="6117.6"/>
    <n v="0.24199999999999999"/>
    <s v="Paid"/>
    <n v="1480.4592"/>
  </r>
  <r>
    <s v="MTR0040"/>
    <x v="70"/>
    <x v="4"/>
    <s v="Industrial"/>
    <n v="5701.5"/>
    <n v="0.24299999999999999"/>
    <s v="Pending"/>
    <n v="1385.4645"/>
  </r>
  <r>
    <s v="MTR0067"/>
    <x v="71"/>
    <x v="0"/>
    <s v="Industrial"/>
    <n v="0"/>
    <n v="0.25600000000000001"/>
    <s v="Paid"/>
    <n v="0"/>
  </r>
  <r>
    <s v="MTR0070"/>
    <x v="48"/>
    <x v="0"/>
    <s v="Industrial"/>
    <n v="5808.6"/>
    <n v="0.253"/>
    <s v="non_pay"/>
    <n v="1469.5758000000001"/>
  </r>
  <r>
    <s v="MTR0085"/>
    <x v="72"/>
    <x v="0"/>
    <s v="Industrial"/>
    <n v="5632.1"/>
    <n v="0.26200000000000001"/>
    <s v="Paid"/>
    <n v="1475.6102000000001"/>
  </r>
  <r>
    <s v="MTR0086"/>
    <x v="16"/>
    <x v="4"/>
    <s v="Industrial"/>
    <n v="6076.6"/>
    <n v="0.254"/>
    <s v="Overdue"/>
    <n v="1543.4564"/>
  </r>
  <r>
    <s v="MTR0098"/>
    <x v="73"/>
    <x v="6"/>
    <s v="Industrial"/>
    <n v="6150.7"/>
    <n v="0.24199999999999999"/>
    <s v="Paid"/>
    <n v="1488.4694"/>
  </r>
  <r>
    <s v="MTR0101"/>
    <x v="74"/>
    <x v="0"/>
    <s v="Industrial"/>
    <n v="4460.2"/>
    <n v="0.26200000000000001"/>
    <s v="Overdue"/>
    <n v="1168.5724"/>
  </r>
  <r>
    <s v="MTR0119"/>
    <x v="75"/>
    <x v="0"/>
    <s v="Industrial"/>
    <n v="2743.3"/>
    <n v="0.25900000000000001"/>
    <s v="Pending"/>
    <n v="710.51470000000006"/>
  </r>
  <r>
    <s v="MTR0156"/>
    <x v="16"/>
    <x v="0"/>
    <s v="Industrial"/>
    <n v="3613.8"/>
    <n v="0.25900000000000001"/>
    <s v="Overdue"/>
    <n v="935.97420000000011"/>
  </r>
  <r>
    <s v="MTR0160"/>
    <x v="76"/>
    <x v="0"/>
    <s v="Industrial"/>
    <n v="6470.2"/>
    <n v="0.26100000000000001"/>
    <s v="Paid"/>
    <n v="1688.7221999999999"/>
  </r>
  <r>
    <s v="MTR0189"/>
    <x v="77"/>
    <x v="3"/>
    <s v="Industrial"/>
    <n v="4182.5"/>
    <n v="0.26"/>
    <s v="Paid"/>
    <n v="1087.45"/>
  </r>
  <r>
    <s v="MTR0190"/>
    <x v="78"/>
    <x v="5"/>
    <s v="Industrial"/>
    <n v="1836.8"/>
    <n v="0.25"/>
    <s v="Overdue"/>
    <n v="459.2"/>
  </r>
  <r>
    <s v="MTR0213"/>
    <x v="6"/>
    <x v="4"/>
    <s v="Industrial"/>
    <n v="6478.7"/>
    <n v="0.25800000000000001"/>
    <s v="Paid"/>
    <n v="1671.5046"/>
  </r>
  <r>
    <s v="MTR0242"/>
    <x v="79"/>
    <x v="5"/>
    <s v="Industrial"/>
    <n v="6253.8"/>
    <n v="0.26"/>
    <s v="Paid"/>
    <n v="1625.9880000000001"/>
  </r>
  <r>
    <s v="MTR0243"/>
    <x v="79"/>
    <x v="5"/>
    <s v="Industrial"/>
    <n v="6253.8"/>
    <n v="0.26"/>
    <s v="Paid"/>
    <n v="1625.9880000000001"/>
  </r>
  <r>
    <s v="MTR0268"/>
    <x v="80"/>
    <x v="0"/>
    <s v="Industrial"/>
    <n v="5871.2"/>
    <n v="0.248"/>
    <s v="non_pay"/>
    <n v="1456.0575999999999"/>
  </r>
  <r>
    <s v="MTR0282"/>
    <x v="81"/>
    <x v="4"/>
    <s v="Industrial"/>
    <n v="5684.7"/>
    <n v="0.24299999999999999"/>
    <s v="Paid"/>
    <n v="1381.3820999999998"/>
  </r>
  <r>
    <s v="MTR0290"/>
    <x v="82"/>
    <x v="5"/>
    <s v="Industrial"/>
    <n v="3074.2"/>
    <n v="0.25"/>
    <s v="Paid"/>
    <n v="768.55"/>
  </r>
  <r>
    <s v="MTR0001"/>
    <x v="83"/>
    <x v="5"/>
    <s v="Residential"/>
    <n v="379.3"/>
    <n v="0.17399999999999999"/>
    <s v="Paid"/>
    <n v="65.998199999999997"/>
  </r>
  <r>
    <s v="MTR0002"/>
    <x v="84"/>
    <x v="0"/>
    <s v="Residential"/>
    <n v="466.9"/>
    <n v="0.17799999999999999"/>
    <s v="Paid"/>
    <n v="83.108199999999997"/>
  </r>
  <r>
    <s v="MTR0006"/>
    <x v="85"/>
    <x v="0"/>
    <s v="Residential"/>
    <n v="356.3"/>
    <n v="0.186"/>
    <s v="Paid"/>
    <n v="66.271799999999999"/>
  </r>
  <r>
    <s v="MTR0008"/>
    <x v="86"/>
    <x v="5"/>
    <s v="Residential"/>
    <n v="410.9"/>
    <n v="0.188"/>
    <s v="Paid"/>
    <n v="77.249200000000002"/>
  </r>
  <r>
    <s v="MTR0009"/>
    <x v="87"/>
    <x v="0"/>
    <s v="Residential"/>
    <n v="570.70000000000005"/>
    <n v="0.17799999999999999"/>
    <s v="Paid"/>
    <n v="101.58460000000001"/>
  </r>
  <r>
    <s v="MTR0011"/>
    <x v="88"/>
    <x v="5"/>
    <s v="Residential"/>
    <n v="503.1"/>
    <n v="0.17299999999999999"/>
    <s v="Paid"/>
    <n v="87.036299999999997"/>
  </r>
  <r>
    <s v="MTR0012"/>
    <x v="89"/>
    <x v="5"/>
    <s v="Residential"/>
    <n v="296.10000000000002"/>
    <n v="0.189"/>
    <s v="non_pay"/>
    <n v="55.962900000000005"/>
  </r>
  <r>
    <s v="MTR0013"/>
    <x v="89"/>
    <x v="5"/>
    <s v="Residential"/>
    <n v="296.10000000000002"/>
    <n v="0.189"/>
    <s v="Paid"/>
    <n v="55.962900000000005"/>
  </r>
  <r>
    <s v="MTR0016"/>
    <x v="11"/>
    <x v="0"/>
    <s v="Residential"/>
    <n v="532.1"/>
    <n v="0.18"/>
    <s v="Paid"/>
    <n v="95.778000000000006"/>
  </r>
  <r>
    <s v="MTR0018"/>
    <x v="90"/>
    <x v="4"/>
    <s v="Residential"/>
    <n v="86"/>
    <n v="0.17199999999999999"/>
    <s v="Paid"/>
    <n v="14.791999999999998"/>
  </r>
  <r>
    <s v="MTR0021"/>
    <x v="91"/>
    <x v="6"/>
    <s v="Residential"/>
    <n v="325.89999999999998"/>
    <n v="0.17399999999999999"/>
    <s v="Overdue"/>
    <n v="56.706599999999995"/>
  </r>
  <r>
    <s v="MTR0022"/>
    <x v="91"/>
    <x v="6"/>
    <s v="Residential"/>
    <n v="470.3"/>
    <n v="0.17899999999999999"/>
    <s v="Paid"/>
    <n v="84.183700000000002"/>
  </r>
  <r>
    <s v="MTR0024"/>
    <x v="16"/>
    <x v="5"/>
    <s v="Residential"/>
    <n v="585.20000000000005"/>
    <n v="0.17399999999999999"/>
    <s v="Pending"/>
    <n v="101.8248"/>
  </r>
  <r>
    <s v="MTR0025"/>
    <x v="92"/>
    <x v="2"/>
    <s v="Residential"/>
    <n v="233.7"/>
    <n v="0.182"/>
    <s v="Paid"/>
    <n v="42.5334"/>
  </r>
  <r>
    <s v="MTR0026"/>
    <x v="93"/>
    <x v="4"/>
    <s v="Residential"/>
    <n v="581.20000000000005"/>
    <n v="0"/>
    <s v="Overdue"/>
    <n v="0"/>
  </r>
  <r>
    <s v="MTR0027"/>
    <x v="94"/>
    <x v="6"/>
    <s v="Residential"/>
    <n v="199.8"/>
    <n v="0.17199999999999999"/>
    <s v="Paid"/>
    <n v="34.365600000000001"/>
  </r>
  <r>
    <s v="MTR0030"/>
    <x v="95"/>
    <x v="3"/>
    <s v="Residential"/>
    <n v="247.8"/>
    <n v="0.182"/>
    <s v="Paid"/>
    <n v="45.099600000000002"/>
  </r>
  <r>
    <s v="MTR0031"/>
    <x v="43"/>
    <x v="5"/>
    <s v="Residential"/>
    <n v="206.9"/>
    <n v="0.189"/>
    <s v="Overdue"/>
    <n v="39.104100000000003"/>
  </r>
  <r>
    <s v="MTR0032"/>
    <x v="96"/>
    <x v="1"/>
    <s v="Residential"/>
    <n v="508.8"/>
    <n v="0.185"/>
    <s v="Paid"/>
    <n v="94.128"/>
  </r>
  <r>
    <s v="MTR0033"/>
    <x v="16"/>
    <x v="0"/>
    <s v="Residential"/>
    <n v="327.2"/>
    <n v="0.184"/>
    <s v="Overdue"/>
    <n v="60.204799999999999"/>
  </r>
  <r>
    <s v="MTR0034"/>
    <x v="97"/>
    <x v="0"/>
    <s v="Residential"/>
    <n v="0"/>
    <n v="23"/>
    <s v="Paid"/>
    <n v="0"/>
  </r>
  <r>
    <s v="MTR0035"/>
    <x v="27"/>
    <x v="1"/>
    <s v="Residential"/>
    <n v="620.4"/>
    <n v="0.188"/>
    <s v="Pending"/>
    <n v="116.6352"/>
  </r>
  <r>
    <s v="MTR0038"/>
    <x v="98"/>
    <x v="5"/>
    <s v="Residential"/>
    <n v="184.8"/>
    <n v="0.188"/>
    <s v="Paid"/>
    <n v="34.742400000000004"/>
  </r>
  <r>
    <s v="MTR0042"/>
    <x v="13"/>
    <x v="2"/>
    <s v="Residential"/>
    <n v="0"/>
    <n v="0.185"/>
    <s v="Paid"/>
    <n v="0"/>
  </r>
  <r>
    <s v="MTR0044"/>
    <x v="1"/>
    <x v="0"/>
    <s v="Residential"/>
    <n v="565.70000000000005"/>
    <n v="0"/>
    <s v="Paid"/>
    <n v="0"/>
  </r>
  <r>
    <s v="MTR0045"/>
    <x v="99"/>
    <x v="5"/>
    <s v="Residential"/>
    <n v="608.1"/>
    <n v="0.17899999999999999"/>
    <s v="Paid"/>
    <n v="108.84990000000001"/>
  </r>
  <r>
    <s v="MTR0047"/>
    <x v="81"/>
    <x v="5"/>
    <s v="Residential"/>
    <n v="539"/>
    <n v="0"/>
    <s v="Paid"/>
    <n v="0"/>
  </r>
  <r>
    <s v="MTR0048"/>
    <x v="100"/>
    <x v="0"/>
    <s v="Residential"/>
    <n v="240"/>
    <n v="0.18099999999999999"/>
    <s v="Overdue"/>
    <n v="43.44"/>
  </r>
  <r>
    <s v="MTR0049"/>
    <x v="101"/>
    <x v="0"/>
    <s v="Residential"/>
    <n v="592.6"/>
    <n v="0.17399999999999999"/>
    <s v="Paid"/>
    <n v="103.11239999999999"/>
  </r>
  <r>
    <s v="MTR0050"/>
    <x v="102"/>
    <x v="0"/>
    <s v="Residential"/>
    <n v="464.8"/>
    <n v="0.188"/>
    <s v="Paid"/>
    <n v="87.382400000000004"/>
  </r>
  <r>
    <s v="MTR0051"/>
    <x v="103"/>
    <x v="0"/>
    <s v="Residential"/>
    <n v="399.1"/>
    <n v="0.182"/>
    <s v="Paid"/>
    <n v="72.636200000000002"/>
  </r>
  <r>
    <s v="MTR0052"/>
    <x v="104"/>
    <x v="0"/>
    <s v="Residential"/>
    <n v="162.1"/>
    <n v="0.185"/>
    <s v="Paid"/>
    <n v="29.988499999999998"/>
  </r>
  <r>
    <s v="MTR0055"/>
    <x v="105"/>
    <x v="5"/>
    <s v="Residential"/>
    <n v="110.3"/>
    <n v="0.17299999999999999"/>
    <s v="Paid"/>
    <n v="19.081899999999997"/>
  </r>
  <r>
    <s v="MTR0056"/>
    <x v="106"/>
    <x v="0"/>
    <s v="Residential"/>
    <n v="133.4"/>
    <n v="0.17199999999999999"/>
    <s v="Paid"/>
    <n v="22.944800000000001"/>
  </r>
  <r>
    <s v="MTR0057"/>
    <x v="107"/>
    <x v="5"/>
    <s v="Residential"/>
    <n v="582.79999999999995"/>
    <n v="0.186"/>
    <s v="non_pay"/>
    <n v="108.40079999999999"/>
  </r>
  <r>
    <s v="MTR0059"/>
    <x v="108"/>
    <x v="6"/>
    <s v="Residential"/>
    <n v="415.9"/>
    <n v="0.17399999999999999"/>
    <s v="Pending"/>
    <n v="72.366599999999991"/>
  </r>
  <r>
    <s v="MTR0060"/>
    <x v="109"/>
    <x v="2"/>
    <s v="Residential"/>
    <n v="213.3"/>
    <n v="0"/>
    <s v="Paid"/>
    <n v="0"/>
  </r>
  <r>
    <s v="MTR0061"/>
    <x v="110"/>
    <x v="0"/>
    <s v="Residential"/>
    <n v="589.9"/>
    <n v="0.17499999999999999"/>
    <s v="Paid"/>
    <n v="103.23249999999999"/>
  </r>
  <r>
    <s v="MTR0063"/>
    <x v="14"/>
    <x v="4"/>
    <s v="Residential"/>
    <n v="634.5"/>
    <n v="0.186"/>
    <s v="Paid"/>
    <n v="118.017"/>
  </r>
  <r>
    <s v="MTR0065"/>
    <x v="111"/>
    <x v="3"/>
    <s v="Residential"/>
    <n v="171.9"/>
    <n v="0.184"/>
    <s v="Paid"/>
    <n v="31.6296"/>
  </r>
  <r>
    <s v="MTR0066"/>
    <x v="112"/>
    <x v="0"/>
    <s v="Residential"/>
    <n v="82.9"/>
    <n v="0"/>
    <s v="Pending"/>
    <n v="0"/>
  </r>
  <r>
    <s v="MTR0068"/>
    <x v="97"/>
    <x v="0"/>
    <s v="Residential"/>
    <n v="285.2"/>
    <n v="0.17799999999999999"/>
    <s v="Paid"/>
    <n v="50.765599999999992"/>
  </r>
  <r>
    <s v="MTR0069"/>
    <x v="113"/>
    <x v="3"/>
    <s v="Residential"/>
    <n v="167.8"/>
    <n v="0.17799999999999999"/>
    <s v="Paid"/>
    <n v="29.868400000000001"/>
  </r>
  <r>
    <s v="MTR0071"/>
    <x v="114"/>
    <x v="6"/>
    <s v="Residential"/>
    <n v="424.7"/>
    <n v="0.17100000000000001"/>
    <s v="Paid"/>
    <n v="72.623699999999999"/>
  </r>
  <r>
    <s v="MTR0072"/>
    <x v="115"/>
    <x v="4"/>
    <s v="Residential"/>
    <n v="136"/>
    <n v="0.184"/>
    <s v="non_pay"/>
    <n v="25.024000000000001"/>
  </r>
  <r>
    <s v="MTR0073"/>
    <x v="116"/>
    <x v="0"/>
    <s v="Residential"/>
    <n v="372.7"/>
    <n v="0.187"/>
    <s v="non_pay"/>
    <n v="69.694900000000004"/>
  </r>
  <r>
    <s v="MTR0074"/>
    <x v="117"/>
    <x v="1"/>
    <s v="Residential"/>
    <n v="318.8"/>
    <n v="0.184"/>
    <s v="Paid"/>
    <n v="58.659199999999998"/>
  </r>
  <r>
    <s v="MTR0075"/>
    <x v="117"/>
    <x v="1"/>
    <s v="Residential"/>
    <n v="318.8"/>
    <n v="0.184"/>
    <s v="Paid"/>
    <n v="58.659199999999998"/>
  </r>
  <r>
    <s v="MTR0078"/>
    <x v="118"/>
    <x v="4"/>
    <s v="Residential"/>
    <n v="168.7"/>
    <n v="0.17699999999999999"/>
    <s v="Pending"/>
    <n v="29.859899999999996"/>
  </r>
  <r>
    <s v="MTR0079"/>
    <x v="118"/>
    <x v="4"/>
    <s v="Residential"/>
    <n v="168.7"/>
    <n v="0.17699999999999999"/>
    <s v="Pending"/>
    <n v="29.859899999999996"/>
  </r>
  <r>
    <s v="MTR0080"/>
    <x v="119"/>
    <x v="6"/>
    <s v="Residential"/>
    <n v="165.7"/>
    <n v="0.189"/>
    <s v="Overdue"/>
    <n v="31.317299999999999"/>
  </r>
  <r>
    <s v="MTR0083"/>
    <x v="6"/>
    <x v="4"/>
    <s v="Residential"/>
    <n v="306.89999999999998"/>
    <n v="0.189"/>
    <s v="Overdue"/>
    <n v="58.004099999999994"/>
  </r>
  <r>
    <s v="MTR0084"/>
    <x v="25"/>
    <x v="4"/>
    <s v="Residential"/>
    <n v="104.5"/>
    <n v="0.187"/>
    <s v="Paid"/>
    <n v="19.541499999999999"/>
  </r>
  <r>
    <s v="MTR0088"/>
    <x v="120"/>
    <x v="4"/>
    <s v="Residential"/>
    <n v="430.4"/>
    <n v="0.18"/>
    <s v="Paid"/>
    <n v="77.471999999999994"/>
  </r>
  <r>
    <s v="MTR0089"/>
    <x v="120"/>
    <x v="4"/>
    <s v="Residential"/>
    <n v="430.4"/>
    <n v="0.18"/>
    <s v="Paid"/>
    <n v="77.471999999999994"/>
  </r>
  <r>
    <s v="MTR0091"/>
    <x v="121"/>
    <x v="1"/>
    <s v="Residential"/>
    <n v="407.1"/>
    <n v="0.184"/>
    <s v="Pending"/>
    <n v="74.906400000000005"/>
  </r>
  <r>
    <s v="MTR0092"/>
    <x v="122"/>
    <x v="0"/>
    <s v="Residential"/>
    <n v="484.9"/>
    <n v="0.188"/>
    <s v="Paid"/>
    <n v="91.161199999999994"/>
  </r>
  <r>
    <s v="MTR0093"/>
    <x v="123"/>
    <x v="4"/>
    <s v="Residential"/>
    <n v="523.5"/>
    <n v="0.17899999999999999"/>
    <s v="Pending"/>
    <n v="93.706499999999991"/>
  </r>
  <r>
    <s v="MTR0094"/>
    <x v="124"/>
    <x v="0"/>
    <s v="Residential"/>
    <n v="245.6"/>
    <n v="0.183"/>
    <s v="Overdue"/>
    <n v="44.944800000000001"/>
  </r>
  <r>
    <s v="MTR0096"/>
    <x v="125"/>
    <x v="0"/>
    <s v="Residential"/>
    <n v="457"/>
    <n v="0.17699999999999999"/>
    <s v="Overdue"/>
    <n v="80.888999999999996"/>
  </r>
  <r>
    <s v="MTR0097"/>
    <x v="126"/>
    <x v="0"/>
    <s v="Residential"/>
    <n v="0"/>
    <n v="0.17899999999999999"/>
    <s v="Paid"/>
    <n v="0"/>
  </r>
  <r>
    <s v="MTR0099"/>
    <x v="9"/>
    <x v="3"/>
    <s v="Residential"/>
    <n v="141.4"/>
    <n v="0.186"/>
    <s v="Paid"/>
    <n v="26.3004"/>
  </r>
  <r>
    <s v="MTR0100"/>
    <x v="127"/>
    <x v="0"/>
    <s v="Residential"/>
    <n v="373.9"/>
    <n v="0.183"/>
    <s v="non_pay"/>
    <n v="68.423699999999997"/>
  </r>
  <r>
    <s v="MTR0102"/>
    <x v="128"/>
    <x v="2"/>
    <s v="Residential"/>
    <n v="96.7"/>
    <n v="0.183"/>
    <s v="Pending"/>
    <n v="17.696100000000001"/>
  </r>
  <r>
    <s v="MTR0103"/>
    <x v="129"/>
    <x v="0"/>
    <s v="Residential"/>
    <n v="447.4"/>
    <n v="0.18"/>
    <s v="Paid"/>
    <n v="80.531999999999996"/>
  </r>
  <r>
    <s v="MTR0104"/>
    <x v="89"/>
    <x v="5"/>
    <s v="Residential"/>
    <n v="380.2"/>
    <n v="0.18099999999999999"/>
    <s v="Paid"/>
    <n v="68.816199999999995"/>
  </r>
  <r>
    <s v="MTR0105"/>
    <x v="130"/>
    <x v="5"/>
    <s v="Residential"/>
    <n v="459"/>
    <n v="0.17100000000000001"/>
    <s v="Paid"/>
    <n v="78.489000000000004"/>
  </r>
  <r>
    <s v="MTR0108"/>
    <x v="131"/>
    <x v="3"/>
    <s v="Residential"/>
    <n v="145.19999999999999"/>
    <n v="0.184"/>
    <s v="Paid"/>
    <n v="26.716799999999999"/>
  </r>
  <r>
    <s v="MTR0110"/>
    <x v="132"/>
    <x v="4"/>
    <s v="Residential"/>
    <n v="458.8"/>
    <n v="0.17199999999999999"/>
    <s v="Paid"/>
    <n v="78.913600000000002"/>
  </r>
  <r>
    <s v="MTR0111"/>
    <x v="133"/>
    <x v="4"/>
    <s v="Residential"/>
    <n v="608.29999999999995"/>
    <n v="0"/>
    <s v="Overdue"/>
    <n v="0"/>
  </r>
  <r>
    <s v="MTR0112"/>
    <x v="16"/>
    <x v="4"/>
    <s v="Residential"/>
    <n v="282.10000000000002"/>
    <n v="0.183"/>
    <s v="Pending"/>
    <n v="51.624300000000005"/>
  </r>
  <r>
    <s v="MTR0113"/>
    <x v="134"/>
    <x v="0"/>
    <s v="Residential"/>
    <n v="548"/>
    <n v="0.18099999999999999"/>
    <s v="Paid"/>
    <n v="99.188000000000002"/>
  </r>
  <r>
    <s v="MTR0114"/>
    <x v="135"/>
    <x v="5"/>
    <s v="Residential"/>
    <n v="598.5"/>
    <n v="0.183"/>
    <s v="Paid"/>
    <n v="109.52549999999999"/>
  </r>
  <r>
    <s v="MTR0116"/>
    <x v="136"/>
    <x v="6"/>
    <s v="Residential"/>
    <n v="396.9"/>
    <n v="0.184"/>
    <s v="Pending"/>
    <n v="73.029599999999988"/>
  </r>
  <r>
    <s v="MTR0117"/>
    <x v="30"/>
    <x v="3"/>
    <s v="Residential"/>
    <n v="425.8"/>
    <n v="0.184"/>
    <s v="Pending"/>
    <n v="78.347200000000001"/>
  </r>
  <r>
    <s v="MTR0121"/>
    <x v="18"/>
    <x v="6"/>
    <s v="Residential"/>
    <n v="167.2"/>
    <n v="0.186"/>
    <s v="Paid"/>
    <n v="31.099199999999996"/>
  </r>
  <r>
    <s v="MTR0122"/>
    <x v="137"/>
    <x v="2"/>
    <s v="Residential"/>
    <n v="326"/>
    <n v="0.17499999999999999"/>
    <s v="Paid"/>
    <n v="57.05"/>
  </r>
  <r>
    <s v="MTR0123"/>
    <x v="138"/>
    <x v="3"/>
    <s v="Residential"/>
    <n v="186.9"/>
    <n v="0.183"/>
    <s v="Paid"/>
    <n v="34.2027"/>
  </r>
  <r>
    <s v="MTR0124"/>
    <x v="138"/>
    <x v="3"/>
    <s v="Residential"/>
    <n v="186.9"/>
    <n v="0.183"/>
    <s v="Paid"/>
    <n v="34.2027"/>
  </r>
  <r>
    <s v="MTR0125"/>
    <x v="139"/>
    <x v="5"/>
    <s v="Residential"/>
    <n v="181.1"/>
    <n v="0.17599999999999999"/>
    <s v="Paid"/>
    <n v="31.873599999999996"/>
  </r>
  <r>
    <s v="MTR0126"/>
    <x v="140"/>
    <x v="0"/>
    <s v="Residential"/>
    <n v="0"/>
    <n v="0.18"/>
    <s v="Paid"/>
    <n v="0"/>
  </r>
  <r>
    <s v="MTR0127"/>
    <x v="141"/>
    <x v="3"/>
    <s v="Residential"/>
    <n v="636.20000000000005"/>
    <n v="0.183"/>
    <s v="Paid"/>
    <n v="116.42460000000001"/>
  </r>
  <r>
    <s v="MTR0128"/>
    <x v="142"/>
    <x v="2"/>
    <s v="Residential"/>
    <n v="566.79999999999995"/>
    <n v="0.187"/>
    <s v="Paid"/>
    <n v="105.99159999999999"/>
  </r>
  <r>
    <s v="MTR0129"/>
    <x v="81"/>
    <x v="5"/>
    <s v="Residential"/>
    <n v="387.3"/>
    <n v="0.17100000000000001"/>
    <s v="Overdue"/>
    <n v="66.228300000000004"/>
  </r>
  <r>
    <s v="MTR0130"/>
    <x v="143"/>
    <x v="0"/>
    <s v="Residential"/>
    <n v="458.8"/>
    <n v="0.17699999999999999"/>
    <s v="Paid"/>
    <n v="81.207599999999999"/>
  </r>
  <r>
    <s v="MTR0131"/>
    <x v="144"/>
    <x v="1"/>
    <s v="Residential"/>
    <n v="614.70000000000005"/>
    <n v="0.17699999999999999"/>
    <s v="Paid"/>
    <n v="108.8019"/>
  </r>
  <r>
    <s v="MTR0132"/>
    <x v="145"/>
    <x v="3"/>
    <s v="Residential"/>
    <n v="188.2"/>
    <n v="0.17799999999999999"/>
    <s v="Paid"/>
    <n v="33.499599999999994"/>
  </r>
  <r>
    <s v="MTR0134"/>
    <x v="146"/>
    <x v="5"/>
    <s v="Residential"/>
    <n v="560.79999999999995"/>
    <n v="0.17499999999999999"/>
    <s v="Paid"/>
    <n v="98.139999999999986"/>
  </r>
  <r>
    <s v="MTR0136"/>
    <x v="147"/>
    <x v="1"/>
    <s v="Residential"/>
    <n v="311.7"/>
    <n v="0.182"/>
    <s v="Paid"/>
    <n v="56.729399999999998"/>
  </r>
  <r>
    <s v="MTR0137"/>
    <x v="148"/>
    <x v="4"/>
    <s v="Residential"/>
    <n v="184.6"/>
    <n v="0.17499999999999999"/>
    <s v="Paid"/>
    <n v="32.305"/>
  </r>
  <r>
    <s v="MTR0138"/>
    <x v="149"/>
    <x v="0"/>
    <s v="Residential"/>
    <n v="475"/>
    <n v="0.17599999999999999"/>
    <s v="Paid"/>
    <n v="83.6"/>
  </r>
  <r>
    <s v="MTR0143"/>
    <x v="50"/>
    <x v="4"/>
    <s v="Residential"/>
    <n v="189.1"/>
    <n v="0.184"/>
    <s v="Pending"/>
    <n v="34.794399999999996"/>
  </r>
  <r>
    <s v="MTR0144"/>
    <x v="148"/>
    <x v="1"/>
    <s v="Residential"/>
    <n v="153.5"/>
    <n v="0.17799999999999999"/>
    <s v="Paid"/>
    <n v="27.323"/>
  </r>
  <r>
    <s v="MTR0145"/>
    <x v="150"/>
    <x v="4"/>
    <s v="Residential"/>
    <n v="434.2"/>
    <n v="0.17599999999999999"/>
    <s v="Pending"/>
    <n v="76.419199999999989"/>
  </r>
  <r>
    <s v="MTR0148"/>
    <x v="151"/>
    <x v="1"/>
    <s v="Residential"/>
    <n v="356.3"/>
    <n v="0.188"/>
    <s v="Pending"/>
    <n v="66.984400000000008"/>
  </r>
  <r>
    <s v="MTR0149"/>
    <x v="152"/>
    <x v="2"/>
    <s v="Residential"/>
    <n v="329.7"/>
    <n v="0.17799999999999999"/>
    <s v="Paid"/>
    <n v="58.686599999999999"/>
  </r>
  <r>
    <s v="MTR0150"/>
    <x v="152"/>
    <x v="2"/>
    <s v="Residential"/>
    <n v="329.7"/>
    <n v="0.17799999999999999"/>
    <s v="Paid"/>
    <n v="58.686599999999999"/>
  </r>
  <r>
    <s v="MTR0151"/>
    <x v="153"/>
    <x v="5"/>
    <s v="Residential"/>
    <n v="570.9"/>
    <n v="0.17799999999999999"/>
    <s v="Overdue"/>
    <n v="101.6202"/>
  </r>
  <r>
    <s v="MTR0153"/>
    <x v="128"/>
    <x v="5"/>
    <s v="Residential"/>
    <n v="624.70000000000005"/>
    <n v="0.17799999999999999"/>
    <s v="Pending"/>
    <n v="111.1966"/>
  </r>
  <r>
    <s v="MTR0154"/>
    <x v="154"/>
    <x v="0"/>
    <s v="Residential"/>
    <n v="84.6"/>
    <n v="0.17399999999999999"/>
    <s v="Pending"/>
    <n v="14.720399999999998"/>
  </r>
  <r>
    <s v="MTR0158"/>
    <x v="40"/>
    <x v="1"/>
    <s v="Residential"/>
    <n v="625.5"/>
    <n v="0.17599999999999999"/>
    <s v="Paid"/>
    <n v="110.08799999999999"/>
  </r>
  <r>
    <s v="MTR0159"/>
    <x v="29"/>
    <x v="1"/>
    <s v="Residential"/>
    <n v="337.8"/>
    <n v="0.183"/>
    <s v="non_pay"/>
    <n v="61.817399999999999"/>
  </r>
  <r>
    <s v="MTR0163"/>
    <x v="16"/>
    <x v="0"/>
    <s v="Residential"/>
    <n v="476"/>
    <n v="0.184"/>
    <s v="Paid"/>
    <n v="87.584000000000003"/>
  </r>
  <r>
    <s v="MTR0166"/>
    <x v="155"/>
    <x v="1"/>
    <s v="Residential"/>
    <n v="339.4"/>
    <n v="0.186"/>
    <s v="Overdue"/>
    <n v="63.128399999999992"/>
  </r>
  <r>
    <s v="MTR0167"/>
    <x v="16"/>
    <x v="2"/>
    <s v="Residential"/>
    <n v="211.5"/>
    <n v="0.17499999999999999"/>
    <s v="Pending"/>
    <n v="37.012499999999996"/>
  </r>
  <r>
    <s v="MTR0168"/>
    <x v="156"/>
    <x v="5"/>
    <s v="Residential"/>
    <n v="153.9"/>
    <n v="0.184"/>
    <s v="Paid"/>
    <n v="28.317600000000002"/>
  </r>
  <r>
    <s v="MTR0169"/>
    <x v="67"/>
    <x v="6"/>
    <s v="Residential"/>
    <n v="217.6"/>
    <n v="0.17799999999999999"/>
    <s v="Paid"/>
    <n v="38.732799999999997"/>
  </r>
  <r>
    <s v="MTR0170"/>
    <x v="157"/>
    <x v="5"/>
    <s v="Residential"/>
    <n v="540.5"/>
    <n v="0.17599999999999999"/>
    <s v="Pending"/>
    <n v="95.128"/>
  </r>
  <r>
    <s v="MTR0171"/>
    <x v="16"/>
    <x v="0"/>
    <s v="Residential"/>
    <n v="349.4"/>
    <n v="0.182"/>
    <s v="Paid"/>
    <n v="63.590799999999994"/>
  </r>
  <r>
    <s v="MTR0172"/>
    <x v="16"/>
    <x v="3"/>
    <s v="Residential"/>
    <n v="212.1"/>
    <n v="0.189"/>
    <s v="Paid"/>
    <n v="40.0869"/>
  </r>
  <r>
    <s v="MTR0173"/>
    <x v="154"/>
    <x v="3"/>
    <s v="Residential"/>
    <n v="273.3"/>
    <n v="0.17599999999999999"/>
    <s v="non_pay"/>
    <n v="48.1008"/>
  </r>
  <r>
    <s v="MTR0174"/>
    <x v="16"/>
    <x v="4"/>
    <s v="Residential"/>
    <n v="427.8"/>
    <n v="0.17100000000000001"/>
    <s v="Paid"/>
    <n v="73.153800000000004"/>
  </r>
  <r>
    <s v="MTR0175"/>
    <x v="96"/>
    <x v="2"/>
    <s v="Residential"/>
    <n v="465.1"/>
    <n v="0.17499999999999999"/>
    <s v="Paid"/>
    <n v="81.392499999999998"/>
  </r>
  <r>
    <s v="MTR0176"/>
    <x v="158"/>
    <x v="5"/>
    <s v="Residential"/>
    <n v="606"/>
    <n v="0.187"/>
    <s v="Paid"/>
    <n v="113.322"/>
  </r>
  <r>
    <s v="MTR0179"/>
    <x v="159"/>
    <x v="3"/>
    <s v="Residential"/>
    <n v="493.3"/>
    <n v="0.184"/>
    <s v="Pending"/>
    <n v="90.767200000000003"/>
  </r>
  <r>
    <s v="MTR0180"/>
    <x v="160"/>
    <x v="1"/>
    <s v="Residential"/>
    <n v="643.4"/>
    <n v="0.18099999999999999"/>
    <s v="Paid"/>
    <n v="116.4554"/>
  </r>
  <r>
    <s v="MTR0181"/>
    <x v="16"/>
    <x v="0"/>
    <s v="Residential"/>
    <n v="263.10000000000002"/>
    <n v="0.185"/>
    <s v="Paid"/>
    <n v="48.673500000000004"/>
  </r>
  <r>
    <s v="MTR0182"/>
    <x v="161"/>
    <x v="2"/>
    <s v="Residential"/>
    <n v="297.3"/>
    <n v="0.186"/>
    <s v="Paid"/>
    <n v="55.297800000000002"/>
  </r>
  <r>
    <s v="MTR0183"/>
    <x v="162"/>
    <x v="0"/>
    <s v="Residential"/>
    <n v="326"/>
    <n v="0.17100000000000001"/>
    <s v="Pending"/>
    <n v="55.746000000000002"/>
  </r>
  <r>
    <s v="MTR0184"/>
    <x v="163"/>
    <x v="2"/>
    <s v="Residential"/>
    <n v="0"/>
    <n v="0.184"/>
    <s v="Paid"/>
    <n v="0"/>
  </r>
  <r>
    <s v="MTR0186"/>
    <x v="164"/>
    <x v="3"/>
    <s v="Residential"/>
    <n v="535.29999999999995"/>
    <n v="0.17499999999999999"/>
    <s v="Paid"/>
    <n v="93.677499999999981"/>
  </r>
  <r>
    <s v="MTR0187"/>
    <x v="165"/>
    <x v="0"/>
    <s v="Residential"/>
    <n v="246.5"/>
    <n v="0.17399999999999999"/>
    <s v="Overdue"/>
    <n v="42.890999999999998"/>
  </r>
  <r>
    <s v="MTR0188"/>
    <x v="134"/>
    <x v="5"/>
    <s v="Residential"/>
    <n v="600.29999999999995"/>
    <n v="0.17799999999999999"/>
    <s v="Paid"/>
    <n v="106.85339999999999"/>
  </r>
  <r>
    <s v="MTR0191"/>
    <x v="166"/>
    <x v="3"/>
    <s v="Residential"/>
    <n v="98.7"/>
    <n v="0.18099999999999999"/>
    <s v="Pending"/>
    <n v="17.864699999999999"/>
  </r>
  <r>
    <s v="MTR0192"/>
    <x v="167"/>
    <x v="0"/>
    <s v="Residential"/>
    <n v="274.7"/>
    <n v="0.17299999999999999"/>
    <s v="Paid"/>
    <n v="47.523099999999992"/>
  </r>
  <r>
    <s v="MTR0194"/>
    <x v="168"/>
    <x v="3"/>
    <s v="Residential"/>
    <n v="243.9"/>
    <n v="0"/>
    <s v="Paid"/>
    <n v="0"/>
  </r>
  <r>
    <s v="MTR0195"/>
    <x v="169"/>
    <x v="1"/>
    <s v="Residential"/>
    <n v="10022"/>
    <n v="0.187"/>
    <s v="Paid"/>
    <n v="1874.114"/>
  </r>
  <r>
    <s v="MTR0197"/>
    <x v="170"/>
    <x v="0"/>
    <s v="Residential"/>
    <n v="349.7"/>
    <n v="0.17799999999999999"/>
    <s v="Pending"/>
    <n v="62.246599999999994"/>
  </r>
  <r>
    <s v="MTR0198"/>
    <x v="39"/>
    <x v="2"/>
    <s v="Residential"/>
    <n v="183.7"/>
    <n v="0.18099999999999999"/>
    <s v="Pending"/>
    <n v="33.249699999999997"/>
  </r>
  <r>
    <s v="MTR0201"/>
    <x v="171"/>
    <x v="3"/>
    <s v="Residential"/>
    <n v="0"/>
    <n v="0.188"/>
    <s v="Paid"/>
    <n v="0"/>
  </r>
  <r>
    <s v="MTR0202"/>
    <x v="159"/>
    <x v="3"/>
    <s v="Residential"/>
    <n v="374.3"/>
    <n v="0.185"/>
    <s v="Pending"/>
    <n v="69.245500000000007"/>
  </r>
  <r>
    <s v="MTR0203"/>
    <x v="172"/>
    <x v="5"/>
    <s v="Residential"/>
    <n v="163.4"/>
    <n v="0.17499999999999999"/>
    <s v="Pending"/>
    <n v="28.594999999999999"/>
  </r>
  <r>
    <s v="MTR0204"/>
    <x v="141"/>
    <x v="3"/>
    <s v="Residential"/>
    <n v="205"/>
    <n v="0.18"/>
    <s v="Paid"/>
    <n v="36.9"/>
  </r>
  <r>
    <s v="MTR0206"/>
    <x v="173"/>
    <x v="3"/>
    <s v="Residential"/>
    <n v="543.79999999999995"/>
    <n v="0.184"/>
    <s v="Overdue"/>
    <n v="100.05919999999999"/>
  </r>
  <r>
    <s v="MTR0207"/>
    <x v="174"/>
    <x v="2"/>
    <s v="Residential"/>
    <n v="625.79999999999995"/>
    <n v="0.186"/>
    <s v="Paid"/>
    <n v="116.39879999999999"/>
  </r>
  <r>
    <s v="MTR0209"/>
    <x v="175"/>
    <x v="0"/>
    <s v="Residential"/>
    <n v="359.6"/>
    <n v="0.183"/>
    <s v="Paid"/>
    <n v="65.80680000000001"/>
  </r>
  <r>
    <s v="MTR0211"/>
    <x v="176"/>
    <x v="0"/>
    <s v="Residential"/>
    <n v="635"/>
    <n v="0.17599999999999999"/>
    <s v="non_pay"/>
    <n v="111.75999999999999"/>
  </r>
  <r>
    <s v="MTR0212"/>
    <x v="177"/>
    <x v="2"/>
    <s v="Residential"/>
    <n v="344.5"/>
    <n v="0.184"/>
    <s v="non_pay"/>
    <n v="63.387999999999998"/>
  </r>
  <r>
    <s v="MTR0214"/>
    <x v="178"/>
    <x v="1"/>
    <s v="Residential"/>
    <n v="444.8"/>
    <n v="0.187"/>
    <s v="Paid"/>
    <n v="83.177599999999998"/>
  </r>
  <r>
    <s v="MTR0216"/>
    <x v="179"/>
    <x v="6"/>
    <s v="Residential"/>
    <n v="540.79999999999995"/>
    <n v="0.182"/>
    <s v="Paid"/>
    <n v="98.425599999999989"/>
  </r>
  <r>
    <s v="MTR0218"/>
    <x v="16"/>
    <x v="5"/>
    <s v="Residential"/>
    <n v="563.20000000000005"/>
    <n v="0"/>
    <s v="Paid"/>
    <n v="0"/>
  </r>
  <r>
    <s v="MTR0220"/>
    <x v="180"/>
    <x v="4"/>
    <s v="Residential"/>
    <n v="597.29999999999995"/>
    <n v="0.17399999999999999"/>
    <s v="Paid"/>
    <n v="103.93019999999999"/>
  </r>
  <r>
    <s v="MTR0221"/>
    <x v="181"/>
    <x v="0"/>
    <s v="Residential"/>
    <n v="83.4"/>
    <n v="0.187"/>
    <s v="Paid"/>
    <n v="15.595800000000001"/>
  </r>
  <r>
    <s v="MTR0223"/>
    <x v="182"/>
    <x v="0"/>
    <s v="Residential"/>
    <n v="0"/>
    <n v="0.188"/>
    <s v="Paid"/>
    <n v="0"/>
  </r>
  <r>
    <s v="MTR0225"/>
    <x v="97"/>
    <x v="0"/>
    <s v="Residential"/>
    <n v="431.7"/>
    <n v="0.18099999999999999"/>
    <s v="Paid"/>
    <n v="78.137699999999995"/>
  </r>
  <r>
    <s v="MTR0228"/>
    <x v="10"/>
    <x v="1"/>
    <s v="Residential"/>
    <n v="173.2"/>
    <n v="0.17100000000000001"/>
    <s v="Paid"/>
    <n v="29.6172"/>
  </r>
  <r>
    <s v="MTR0230"/>
    <x v="163"/>
    <x v="1"/>
    <s v="Residential"/>
    <n v="81"/>
    <n v="0.17499999999999999"/>
    <s v="non_pay"/>
    <n v="14.174999999999999"/>
  </r>
  <r>
    <s v="MTR0231"/>
    <x v="149"/>
    <x v="3"/>
    <s v="Residential"/>
    <n v="257"/>
    <n v="0.17199999999999999"/>
    <s v="Paid"/>
    <n v="44.203999999999994"/>
  </r>
  <r>
    <s v="MTR0233"/>
    <x v="183"/>
    <x v="6"/>
    <s v="Residential"/>
    <n v="100.5"/>
    <n v="0.185"/>
    <s v="Paid"/>
    <n v="18.592500000000001"/>
  </r>
  <r>
    <s v="MTR0234"/>
    <x v="159"/>
    <x v="2"/>
    <s v="Residential"/>
    <n v="231.8"/>
    <n v="0.17299999999999999"/>
    <s v="Paid"/>
    <n v="40.101399999999998"/>
  </r>
  <r>
    <s v="MTR0237"/>
    <x v="147"/>
    <x v="0"/>
    <s v="Residential"/>
    <n v="133.69999999999999"/>
    <n v="0.185"/>
    <s v="Paid"/>
    <n v="24.734499999999997"/>
  </r>
  <r>
    <s v="MTR0238"/>
    <x v="76"/>
    <x v="2"/>
    <s v="Residential"/>
    <n v="640.70000000000005"/>
    <n v="0.17100000000000001"/>
    <s v="Pending"/>
    <n v="109.55970000000002"/>
  </r>
  <r>
    <s v="MTR0240"/>
    <x v="184"/>
    <x v="1"/>
    <s v="Residential"/>
    <n v="510.9"/>
    <n v="0.18"/>
    <s v="Pending"/>
    <n v="91.961999999999989"/>
  </r>
  <r>
    <s v="MTR0241"/>
    <x v="185"/>
    <x v="6"/>
    <s v="Residential"/>
    <n v="528.20000000000005"/>
    <n v="0.17399999999999999"/>
    <s v="Overdue"/>
    <n v="91.906800000000004"/>
  </r>
  <r>
    <s v="MTR0244"/>
    <x v="186"/>
    <x v="0"/>
    <s v="Residential"/>
    <n v="126.2"/>
    <n v="0.182"/>
    <s v="Paid"/>
    <n v="22.968399999999999"/>
  </r>
  <r>
    <s v="MTR0245"/>
    <x v="187"/>
    <x v="5"/>
    <s v="Residential"/>
    <n v="597.9"/>
    <n v="-10"/>
    <s v="Paid"/>
    <n v="-5979"/>
  </r>
  <r>
    <s v="MTR0247"/>
    <x v="188"/>
    <x v="0"/>
    <s v="Residential"/>
    <n v="166.7"/>
    <n v="0.17199999999999999"/>
    <s v="Paid"/>
    <n v="28.672399999999996"/>
  </r>
  <r>
    <s v="MTR0251"/>
    <x v="189"/>
    <x v="5"/>
    <s v="Residential"/>
    <n v="322.7"/>
    <n v="0.183"/>
    <s v="Paid"/>
    <n v="59.054099999999998"/>
  </r>
  <r>
    <s v="MTR0254"/>
    <x v="190"/>
    <x v="0"/>
    <s v="Residential"/>
    <n v="579.6"/>
    <n v="0.17100000000000001"/>
    <s v="Pending"/>
    <n v="99.11160000000001"/>
  </r>
  <r>
    <s v="MTR0257"/>
    <x v="127"/>
    <x v="3"/>
    <s v="Residential"/>
    <n v="191.2"/>
    <n v="0.17899999999999999"/>
    <s v="Paid"/>
    <n v="34.224799999999995"/>
  </r>
  <r>
    <s v="MTR0260"/>
    <x v="164"/>
    <x v="2"/>
    <s v="Residential"/>
    <n v="10008"/>
    <n v="0.188"/>
    <s v="Paid"/>
    <n v="1881.5039999999999"/>
  </r>
  <r>
    <s v="MTR0261"/>
    <x v="11"/>
    <x v="1"/>
    <s v="Residential"/>
    <n v="117.1"/>
    <n v="0.18099999999999999"/>
    <s v="non_pay"/>
    <n v="21.1951"/>
  </r>
  <r>
    <s v="MTR0262"/>
    <x v="191"/>
    <x v="0"/>
    <s v="Residential"/>
    <n v="176.2"/>
    <n v="0.187"/>
    <s v="non_pay"/>
    <n v="32.949399999999997"/>
  </r>
  <r>
    <s v="MTR0265"/>
    <x v="192"/>
    <x v="2"/>
    <s v="Residential"/>
    <n v="112.4"/>
    <n v="0"/>
    <s v="Paid"/>
    <n v="0"/>
  </r>
  <r>
    <s v="MTR0267"/>
    <x v="193"/>
    <x v="0"/>
    <s v="Residential"/>
    <n v="341.3"/>
    <n v="0.17899999999999999"/>
    <s v="Paid"/>
    <n v="61.092700000000001"/>
  </r>
  <r>
    <s v="MTR0269"/>
    <x v="16"/>
    <x v="3"/>
    <s v="Residential"/>
    <n v="361.5"/>
    <n v="0.17799999999999999"/>
    <s v="non_pay"/>
    <n v="64.346999999999994"/>
  </r>
  <r>
    <s v="MTR0270"/>
    <x v="194"/>
    <x v="1"/>
    <s v="Residential"/>
    <n v="295.60000000000002"/>
    <n v="0.18099999999999999"/>
    <s v="Paid"/>
    <n v="53.503600000000006"/>
  </r>
  <r>
    <s v="MTR0271"/>
    <x v="85"/>
    <x v="0"/>
    <s v="Residential"/>
    <n v="563.29999999999995"/>
    <n v="0.183"/>
    <s v="Paid"/>
    <n v="103.08389999999999"/>
  </r>
  <r>
    <s v="MTR0272"/>
    <x v="195"/>
    <x v="0"/>
    <s v="Residential"/>
    <n v="268.3"/>
    <n v="0.183"/>
    <s v="Overdue"/>
    <n v="49.0989"/>
  </r>
  <r>
    <s v="MTR0273"/>
    <x v="195"/>
    <x v="0"/>
    <s v="Residential"/>
    <n v="268.3"/>
    <n v="0.183"/>
    <s v="Overdue"/>
    <n v="49.0989"/>
  </r>
  <r>
    <s v="MTR0274"/>
    <x v="196"/>
    <x v="4"/>
    <s v="Residential"/>
    <n v="234.4"/>
    <n v="0.17399999999999999"/>
    <s v="Paid"/>
    <n v="40.785599999999995"/>
  </r>
  <r>
    <s v="MTR0276"/>
    <x v="197"/>
    <x v="2"/>
    <s v="Residential"/>
    <n v="178.4"/>
    <n v="0.18"/>
    <s v="Paid"/>
    <n v="32.112000000000002"/>
  </r>
  <r>
    <s v="MTR0277"/>
    <x v="198"/>
    <x v="0"/>
    <s v="Residential"/>
    <n v="401.8"/>
    <n v="0.184"/>
    <s v="Paid"/>
    <n v="73.931200000000004"/>
  </r>
  <r>
    <s v="MTR0278"/>
    <x v="199"/>
    <x v="0"/>
    <s v="Residential"/>
    <n v="141.1"/>
    <n v="0.17299999999999999"/>
    <s v="Paid"/>
    <n v="24.410299999999996"/>
  </r>
  <r>
    <s v="MTR0279"/>
    <x v="200"/>
    <x v="3"/>
    <s v="Residential"/>
    <n v="308.10000000000002"/>
    <n v="0.188"/>
    <s v="Overdue"/>
    <n v="57.922800000000002"/>
  </r>
  <r>
    <s v="MTR0280"/>
    <x v="201"/>
    <x v="0"/>
    <s v="Residential"/>
    <n v="0"/>
    <n v="0.184"/>
    <s v="Overdue"/>
    <n v="0"/>
  </r>
  <r>
    <s v="MTR0281"/>
    <x v="202"/>
    <x v="2"/>
    <s v="Residential"/>
    <n v="244.7"/>
    <n v="0.17899999999999999"/>
    <s v="Paid"/>
    <n v="43.801299999999998"/>
  </r>
  <r>
    <s v="MTR0283"/>
    <x v="203"/>
    <x v="5"/>
    <s v="Residential"/>
    <n v="185.5"/>
    <n v="0.183"/>
    <s v="Paid"/>
    <n v="33.9465"/>
  </r>
  <r>
    <s v="MTR0285"/>
    <x v="190"/>
    <x v="5"/>
    <s v="Residential"/>
    <n v="92.9"/>
    <n v="0.17399999999999999"/>
    <s v="Paid"/>
    <n v="16.1646"/>
  </r>
  <r>
    <s v="MTR0291"/>
    <x v="155"/>
    <x v="1"/>
    <s v="Residential"/>
    <n v="140"/>
    <n v="0.187"/>
    <s v="Overdue"/>
    <n v="26.18"/>
  </r>
  <r>
    <s v="MTR0292"/>
    <x v="188"/>
    <x v="1"/>
    <s v="Residential"/>
    <n v="283.89999999999998"/>
    <n v="0.184"/>
    <s v="Paid"/>
    <n v="52.237599999999993"/>
  </r>
  <r>
    <s v="MTR0293"/>
    <x v="160"/>
    <x v="3"/>
    <s v="Residential"/>
    <n v="643.20000000000005"/>
    <n v="0.17499999999999999"/>
    <s v="non_pay"/>
    <n v="112.56"/>
  </r>
  <r>
    <s v="MTR0294"/>
    <x v="204"/>
    <x v="5"/>
    <s v="Residential"/>
    <n v="175.7"/>
    <n v="0"/>
    <s v="Paid"/>
    <n v="0"/>
  </r>
  <r>
    <s v="MTR0295"/>
    <x v="205"/>
    <x v="5"/>
    <s v="Residential"/>
    <n v="133.5"/>
    <n v="0.17499999999999999"/>
    <s v="Paid"/>
    <n v="23.362499999999997"/>
  </r>
  <r>
    <s v="MTR0296"/>
    <x v="206"/>
    <x v="5"/>
    <s v="Residential"/>
    <n v="359.2"/>
    <n v="0.17799999999999999"/>
    <s v="Paid"/>
    <n v="63.937599999999996"/>
  </r>
  <r>
    <s v="MTR0297"/>
    <x v="207"/>
    <x v="0"/>
    <s v="Residential"/>
    <n v="445.4"/>
    <n v="0.17199999999999999"/>
    <s v="Pending"/>
    <n v="76.608799999999988"/>
  </r>
  <r>
    <s v="MTR0298"/>
    <x v="66"/>
    <x v="0"/>
    <s v="Residential"/>
    <n v="572"/>
    <n v="0.17399999999999999"/>
    <s v="Paid"/>
    <n v="99.527999999999992"/>
  </r>
  <r>
    <s v="MTR0007"/>
    <x v="208"/>
    <x v="5"/>
    <s v="non_customer"/>
    <n v="102.6"/>
    <n v="0.184"/>
    <s v="Pending"/>
    <n v="18.878399999999999"/>
  </r>
  <r>
    <s v="MTR0019"/>
    <x v="209"/>
    <x v="0"/>
    <s v="non_customer"/>
    <n v="1967.8"/>
    <n v="0.254"/>
    <s v="Paid"/>
    <n v="499.82119999999998"/>
  </r>
  <r>
    <s v="MTR0037"/>
    <x v="210"/>
    <x v="0"/>
    <s v="non_customer"/>
    <n v="528.4"/>
    <n v="0.17899999999999999"/>
    <s v="Paid"/>
    <n v="94.58359999999999"/>
  </r>
  <r>
    <s v="MTR0041"/>
    <x v="9"/>
    <x v="5"/>
    <s v="non_customer"/>
    <n v="277.2"/>
    <n v="0.17899999999999999"/>
    <s v="Pending"/>
    <n v="49.618799999999993"/>
  </r>
  <r>
    <s v="MTR0043"/>
    <x v="211"/>
    <x v="0"/>
    <s v="non_customer"/>
    <n v="333.2"/>
    <n v="0"/>
    <s v="Overdue"/>
    <n v="0"/>
  </r>
  <r>
    <s v="MTR0058"/>
    <x v="184"/>
    <x v="2"/>
    <s v="non_customer"/>
    <n v="163"/>
    <n v="0.185"/>
    <s v="Paid"/>
    <n v="30.155000000000001"/>
  </r>
  <r>
    <s v="MTR0082"/>
    <x v="139"/>
    <x v="0"/>
    <s v="non_customer"/>
    <n v="651.29999999999995"/>
    <n v="0.23100000000000001"/>
    <s v="Paid"/>
    <n v="150.4503"/>
  </r>
  <r>
    <s v="MTR0152"/>
    <x v="212"/>
    <x v="0"/>
    <s v="non_customer"/>
    <n v="2133.9"/>
    <n v="0.22500000000000001"/>
    <s v="Paid"/>
    <n v="480.12750000000005"/>
  </r>
  <r>
    <s v="MTR0165"/>
    <x v="183"/>
    <x v="3"/>
    <s v="non_customer"/>
    <n v="1907.7"/>
    <n v="0.26100000000000001"/>
    <s v="Paid"/>
    <n v="497.90970000000004"/>
  </r>
  <r>
    <s v="MTR0224"/>
    <x v="213"/>
    <x v="0"/>
    <s v="non_customer"/>
    <n v="392.9"/>
    <n v="0.187"/>
    <s v="Paid"/>
    <n v="73.47229999999999"/>
  </r>
  <r>
    <s v="MTR0232"/>
    <x v="24"/>
    <x v="0"/>
    <s v="non_customer"/>
    <n v="2073.9"/>
    <n v="0.22"/>
    <s v="Paid"/>
    <n v="456.25800000000004"/>
  </r>
  <r>
    <s v="MTR0246"/>
    <x v="180"/>
    <x v="4"/>
    <s v="non_customer"/>
    <n v="592.70000000000005"/>
    <n v="0.17699999999999999"/>
    <s v="Paid"/>
    <n v="104.9079"/>
  </r>
  <r>
    <s v="MTR0248"/>
    <x v="214"/>
    <x v="5"/>
    <s v="non_customer"/>
    <n v="144.4"/>
    <n v="0.18"/>
    <s v="Pending"/>
    <n v="25.992000000000001"/>
  </r>
  <r>
    <s v="MTR0249"/>
    <x v="215"/>
    <x v="2"/>
    <s v="non_customer"/>
    <n v="3446.1"/>
    <n v="0.252"/>
    <s v="Overdue"/>
    <n v="868.41719999999998"/>
  </r>
  <r>
    <s v="MTR0250"/>
    <x v="76"/>
    <x v="4"/>
    <s v="non_customer"/>
    <n v="699.7"/>
    <n v="0.223"/>
    <s v="Pending"/>
    <n v="156.03310000000002"/>
  </r>
  <r>
    <s v="MTR0284"/>
    <x v="205"/>
    <x v="5"/>
    <s v="non_customer"/>
    <n v="989.4"/>
    <n v="0.223"/>
    <s v="Pending"/>
    <n v="220.6362"/>
  </r>
  <r>
    <s v="MTR0299"/>
    <x v="117"/>
    <x v="0"/>
    <s v="non_customer"/>
    <n v="529.70000000000005"/>
    <n v="0.186"/>
    <s v="Pending"/>
    <n v="98.524200000000008"/>
  </r>
  <r>
    <s v="MTR0300"/>
    <x v="10"/>
    <x v="3"/>
    <s v="non_customer"/>
    <n v="4843.1000000000004"/>
    <n v="0.253"/>
    <s v="Paid"/>
    <n v="1225.3043"/>
  </r>
  <r>
    <m/>
    <x v="216"/>
    <x v="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BAAAC2-5643-4745-80E0-6D85E7E91012}"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0" firstHeaderRow="0"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2"/>
        <item x="4"/>
        <item x="5"/>
        <item x="0"/>
        <item x="3"/>
        <item x="1"/>
        <item t="default"/>
      </items>
    </pivotField>
    <pivotField showAll="0">
      <items count="4">
        <item x="1"/>
        <item x="2"/>
        <item x="0"/>
        <item t="default"/>
      </items>
    </pivotField>
    <pivotField dataField="1" numFmtId="166" showAll="0"/>
    <pivotField numFmtId="167" showAll="0"/>
    <pivotField showAll="0">
      <items count="4">
        <item x="2"/>
        <item x="0"/>
        <item x="1"/>
        <item t="default"/>
      </items>
    </pivotField>
    <pivotField dataField="1" numFmtId="167" showAll="0"/>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Sum of Units_kWh" fld="4" baseField="0" baseItem="0"/>
    <dataField name="Sum of Total Revenue"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A9019A-1D2F-4505-8D6C-718E721AA29E}"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C7" firstHeaderRow="0"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items count="7">
        <item x="2"/>
        <item x="4"/>
        <item x="5"/>
        <item x="0"/>
        <item x="3"/>
        <item x="1"/>
        <item t="default"/>
      </items>
    </pivotField>
    <pivotField axis="axisRow" showAll="0">
      <items count="4">
        <item x="1"/>
        <item x="2"/>
        <item x="0"/>
        <item t="default"/>
      </items>
    </pivotField>
    <pivotField dataField="1" numFmtId="166" showAll="0"/>
    <pivotField numFmtId="167" showAll="0"/>
    <pivotField showAll="0">
      <items count="4">
        <item x="2"/>
        <item x="0"/>
        <item x="1"/>
        <item t="default"/>
      </items>
    </pivotField>
    <pivotField dataField="1" numFmtId="167"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Fields count="1">
    <field x="-2"/>
  </colFields>
  <colItems count="2">
    <i>
      <x/>
    </i>
    <i i="1">
      <x v="1"/>
    </i>
  </colItems>
  <dataFields count="2">
    <dataField name="Sum of Total Revenue" fld="7" baseField="0" baseItem="0"/>
    <dataField name="Sum of Units_kWh" fld="4"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0"/>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2"/>
          </reference>
        </references>
      </pivotArea>
    </chartFormat>
    <chartFormat chart="3" format="6" series="1">
      <pivotArea type="data" outline="0" fieldPosition="0">
        <references count="1">
          <reference field="4294967294" count="1" selected="0">
            <x v="1"/>
          </reference>
        </references>
      </pivotArea>
    </chartFormat>
    <chartFormat chart="3" format="7">
      <pivotArea type="data" outline="0" fieldPosition="0">
        <references count="2">
          <reference field="4294967294" count="1" selected="0">
            <x v="1"/>
          </reference>
          <reference field="3" count="1" selected="0">
            <x v="0"/>
          </reference>
        </references>
      </pivotArea>
    </chartFormat>
    <chartFormat chart="3" format="8">
      <pivotArea type="data" outline="0" fieldPosition="0">
        <references count="2">
          <reference field="4294967294" count="1" selected="0">
            <x v="1"/>
          </reference>
          <reference field="3" count="1" selected="0">
            <x v="1"/>
          </reference>
        </references>
      </pivotArea>
    </chartFormat>
    <chartFormat chart="3" format="9">
      <pivotArea type="data" outline="0" fieldPosition="0">
        <references count="2">
          <reference field="4294967294" count="1" selected="0">
            <x v="1"/>
          </reference>
          <reference field="3"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3" count="1" selected="0">
            <x v="0"/>
          </reference>
        </references>
      </pivotArea>
    </chartFormat>
    <chartFormat chart="4" format="12">
      <pivotArea type="data" outline="0" fieldPosition="0">
        <references count="2">
          <reference field="4294967294" count="1" selected="0">
            <x v="0"/>
          </reference>
          <reference field="3" count="1" selected="0">
            <x v="1"/>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series="1">
      <pivotArea type="data" outline="0" fieldPosition="0">
        <references count="1">
          <reference field="4294967294" count="1" selected="0">
            <x v="1"/>
          </reference>
        </references>
      </pivotArea>
    </chartFormat>
    <chartFormat chart="4" format="15">
      <pivotArea type="data" outline="0" fieldPosition="0">
        <references count="2">
          <reference field="4294967294" count="1" selected="0">
            <x v="1"/>
          </reference>
          <reference field="3" count="1" selected="0">
            <x v="0"/>
          </reference>
        </references>
      </pivotArea>
    </chartFormat>
    <chartFormat chart="4" format="16">
      <pivotArea type="data" outline="0" fieldPosition="0">
        <references count="2">
          <reference field="4294967294" count="1" selected="0">
            <x v="1"/>
          </reference>
          <reference field="3" count="1" selected="0">
            <x v="1"/>
          </reference>
        </references>
      </pivotArea>
    </chartFormat>
    <chartFormat chart="4" format="17">
      <pivotArea type="data" outline="0" fieldPosition="0">
        <references count="2">
          <reference field="4294967294" count="1" selected="0">
            <x v="1"/>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E09E3E-6B93-423E-A5D3-CD35D9E8C8EB}"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7" firstHeaderRow="0" firstDataRow="1" firstDataCol="1"/>
  <pivotFields count="10">
    <pivotField dataField="1" showAll="0"/>
    <pivotField numFmtId="14" showAll="0">
      <items count="15">
        <item x="0"/>
        <item x="1"/>
        <item x="2"/>
        <item x="3"/>
        <item x="4"/>
        <item x="5"/>
        <item x="6"/>
        <item x="7"/>
        <item x="8"/>
        <item x="9"/>
        <item x="10"/>
        <item x="11"/>
        <item x="12"/>
        <item x="13"/>
        <item t="default"/>
      </items>
    </pivotField>
    <pivotField showAll="0">
      <items count="7">
        <item x="2"/>
        <item x="4"/>
        <item x="5"/>
        <item x="0"/>
        <item x="3"/>
        <item x="1"/>
        <item t="default"/>
      </items>
    </pivotField>
    <pivotField showAll="0">
      <items count="4">
        <item x="1"/>
        <item x="2"/>
        <item x="0"/>
        <item t="default"/>
      </items>
    </pivotField>
    <pivotField numFmtId="166" showAll="0"/>
    <pivotField numFmtId="167" showAll="0"/>
    <pivotField axis="axisRow" showAll="0">
      <items count="4">
        <item x="2"/>
        <item x="0"/>
        <item x="1"/>
        <item t="default"/>
      </items>
    </pivotField>
    <pivotField dataField="1" numFmtId="167"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Fields count="1">
    <field x="-2"/>
  </colFields>
  <colItems count="2">
    <i>
      <x/>
    </i>
    <i i="1">
      <x v="1"/>
    </i>
  </colItems>
  <dataFields count="2">
    <dataField name="Sum of Total Revenue" fld="7" baseField="0" baseItem="0"/>
    <dataField name="Count of Meter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6" count="1" selected="0">
            <x v="0"/>
          </reference>
        </references>
      </pivotArea>
    </chartFormat>
    <chartFormat chart="2" format="16">
      <pivotArea type="data" outline="0" fieldPosition="0">
        <references count="2">
          <reference field="4294967294" count="1" selected="0">
            <x v="1"/>
          </reference>
          <reference field="6" count="1" selected="0">
            <x v="1"/>
          </reference>
        </references>
      </pivotArea>
    </chartFormat>
    <chartFormat chart="2"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D16415E-7FE5-455E-8757-14FC8AAAC702}"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items count="7">
        <item x="2"/>
        <item x="4"/>
        <item x="5"/>
        <item x="0"/>
        <item x="3"/>
        <item x="1"/>
        <item t="default"/>
      </items>
    </pivotField>
    <pivotField showAll="0">
      <items count="4">
        <item x="1"/>
        <item x="2"/>
        <item x="0"/>
        <item t="default"/>
      </items>
    </pivotField>
    <pivotField dataField="1" numFmtId="166" showAll="0"/>
    <pivotField numFmtId="167" showAll="0"/>
    <pivotField showAll="0">
      <items count="4">
        <item x="2"/>
        <item x="0"/>
        <item x="1"/>
        <item t="default"/>
      </items>
    </pivotField>
    <pivotField numFmtId="167"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Units_kWh"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F312A-4428-411F-AE77-C5F103BF4E15}" name="PivotTable6"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axis="axisRow" showAll="0">
      <items count="7">
        <item x="2"/>
        <item x="4"/>
        <item x="5"/>
        <item x="0"/>
        <item x="3"/>
        <item x="1"/>
        <item t="default"/>
      </items>
    </pivotField>
    <pivotField showAll="0">
      <items count="4">
        <item x="1"/>
        <item x="2"/>
        <item x="0"/>
        <item t="default"/>
      </items>
    </pivotField>
    <pivotField dataField="1" numFmtId="166" showAll="0"/>
    <pivotField numFmtId="167" showAll="0"/>
    <pivotField showAll="0">
      <items count="4">
        <item x="2"/>
        <item x="0"/>
        <item x="1"/>
        <item t="default"/>
      </items>
    </pivotField>
    <pivotField numFmtId="167" showAll="0"/>
    <pivotField showAll="0" defaultSubtotal="0"/>
    <pivotField showAll="0" defaultSubtotal="0"/>
  </pivotFields>
  <rowFields count="1">
    <field x="2"/>
  </rowFields>
  <rowItems count="7">
    <i>
      <x/>
    </i>
    <i>
      <x v="1"/>
    </i>
    <i>
      <x v="2"/>
    </i>
    <i>
      <x v="3"/>
    </i>
    <i>
      <x v="4"/>
    </i>
    <i>
      <x v="5"/>
    </i>
    <i t="grand">
      <x/>
    </i>
  </rowItems>
  <colItems count="1">
    <i/>
  </colItems>
  <dataFields count="1">
    <dataField name="Sum of Units_kWh" fld="4"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5"/>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2"/>
          </reference>
        </references>
      </pivotArea>
    </chartFormat>
    <chartFormat chart="2" format="7">
      <pivotArea type="data" outline="0" fieldPosition="0">
        <references count="2">
          <reference field="4294967294" count="1" selected="0">
            <x v="0"/>
          </reference>
          <reference field="2" count="1" selected="0">
            <x v="1"/>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7C0A9F-0D8D-4425-8E41-741E16F9CFDB}" name="PivotTable13"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33:O42" firstHeaderRow="1" firstDataRow="1" firstDataCol="1"/>
  <pivotFields count="9">
    <pivotField showAll="0"/>
    <pivotField showAll="0">
      <items count="218">
        <item h="1" x="16"/>
        <item x="92"/>
        <item x="75"/>
        <item x="13"/>
        <item x="187"/>
        <item x="149"/>
        <item x="53"/>
        <item x="181"/>
        <item x="18"/>
        <item x="123"/>
        <item x="24"/>
        <item x="78"/>
        <item x="126"/>
        <item x="20"/>
        <item x="122"/>
        <item x="28"/>
        <item x="33"/>
        <item x="113"/>
        <item x="93"/>
        <item x="1"/>
        <item x="47"/>
        <item x="150"/>
        <item x="192"/>
        <item x="213"/>
        <item x="42"/>
        <item x="2"/>
        <item x="169"/>
        <item x="99"/>
        <item x="32"/>
        <item x="206"/>
        <item x="137"/>
        <item x="106"/>
        <item x="110"/>
        <item x="26"/>
        <item x="7"/>
        <item x="130"/>
        <item x="205"/>
        <item x="49"/>
        <item x="163"/>
        <item x="133"/>
        <item x="116"/>
        <item x="39"/>
        <item x="72"/>
        <item x="211"/>
        <item x="131"/>
        <item x="77"/>
        <item x="140"/>
        <item x="105"/>
        <item x="71"/>
        <item x="170"/>
        <item x="162"/>
        <item x="43"/>
        <item x="198"/>
        <item x="151"/>
        <item x="136"/>
        <item x="57"/>
        <item x="63"/>
        <item x="179"/>
        <item x="74"/>
        <item x="4"/>
        <item x="173"/>
        <item x="109"/>
        <item x="15"/>
        <item x="55"/>
        <item x="119"/>
        <item x="159"/>
        <item x="193"/>
        <item x="178"/>
        <item x="104"/>
        <item x="184"/>
        <item x="50"/>
        <item x="25"/>
        <item x="12"/>
        <item x="174"/>
        <item x="208"/>
        <item x="186"/>
        <item x="46"/>
        <item x="212"/>
        <item x="199"/>
        <item x="38"/>
        <item x="0"/>
        <item x="125"/>
        <item x="154"/>
        <item x="76"/>
        <item x="90"/>
        <item x="194"/>
        <item x="115"/>
        <item x="175"/>
        <item x="143"/>
        <item x="127"/>
        <item x="139"/>
        <item x="183"/>
        <item x="83"/>
        <item x="182"/>
        <item x="146"/>
        <item x="30"/>
        <item x="121"/>
        <item x="158"/>
        <item x="188"/>
        <item x="67"/>
        <item x="196"/>
        <item x="10"/>
        <item x="129"/>
        <item x="88"/>
        <item x="94"/>
        <item x="132"/>
        <item x="59"/>
        <item x="157"/>
        <item x="41"/>
        <item x="111"/>
        <item x="97"/>
        <item x="202"/>
        <item x="134"/>
        <item x="155"/>
        <item x="117"/>
        <item x="210"/>
        <item x="190"/>
        <item x="6"/>
        <item x="51"/>
        <item x="34"/>
        <item x="176"/>
        <item x="128"/>
        <item x="203"/>
        <item x="107"/>
        <item x="35"/>
        <item x="98"/>
        <item x="54"/>
        <item x="204"/>
        <item x="36"/>
        <item x="95"/>
        <item x="148"/>
        <item x="60"/>
        <item x="70"/>
        <item x="14"/>
        <item x="145"/>
        <item x="103"/>
        <item x="166"/>
        <item x="85"/>
        <item x="68"/>
        <item x="167"/>
        <item x="156"/>
        <item x="147"/>
        <item x="100"/>
        <item x="142"/>
        <item x="112"/>
        <item x="172"/>
        <item x="40"/>
        <item x="80"/>
        <item x="9"/>
        <item x="31"/>
        <item x="191"/>
        <item x="87"/>
        <item x="89"/>
        <item x="102"/>
        <item x="17"/>
        <item x="69"/>
        <item x="138"/>
        <item x="79"/>
        <item x="66"/>
        <item x="189"/>
        <item x="11"/>
        <item x="84"/>
        <item x="56"/>
        <item x="160"/>
        <item x="8"/>
        <item x="52"/>
        <item x="44"/>
        <item x="215"/>
        <item x="152"/>
        <item x="209"/>
        <item x="168"/>
        <item x="62"/>
        <item x="19"/>
        <item x="161"/>
        <item x="164"/>
        <item x="108"/>
        <item x="82"/>
        <item x="21"/>
        <item x="101"/>
        <item x="144"/>
        <item x="135"/>
        <item x="120"/>
        <item x="124"/>
        <item x="180"/>
        <item x="58"/>
        <item x="214"/>
        <item x="171"/>
        <item x="141"/>
        <item x="27"/>
        <item x="61"/>
        <item x="3"/>
        <item x="114"/>
        <item x="86"/>
        <item x="207"/>
        <item x="64"/>
        <item x="197"/>
        <item x="195"/>
        <item x="185"/>
        <item x="153"/>
        <item x="73"/>
        <item x="201"/>
        <item x="165"/>
        <item x="23"/>
        <item x="200"/>
        <item x="91"/>
        <item x="5"/>
        <item x="48"/>
        <item x="22"/>
        <item x="96"/>
        <item x="65"/>
        <item x="45"/>
        <item x="37"/>
        <item x="81"/>
        <item x="177"/>
        <item x="118"/>
        <item x="29"/>
        <item x="216"/>
        <item t="default"/>
      </items>
    </pivotField>
    <pivotField axis="axisRow" showAll="0">
      <items count="9">
        <item x="1"/>
        <item x="3"/>
        <item x="4"/>
        <item x="5"/>
        <item x="2"/>
        <item x="0"/>
        <item x="6"/>
        <item x="7"/>
        <item t="default"/>
      </items>
    </pivotField>
    <pivotField showAll="0"/>
    <pivotField dataField="1" showAll="0"/>
    <pivotField showAll="0"/>
    <pivotField showAll="0"/>
    <pivotField showAll="0"/>
    <pivotField showAll="0">
      <items count="2">
        <item x="0"/>
        <item t="default"/>
      </items>
    </pivotField>
  </pivotFields>
  <rowFields count="1">
    <field x="2"/>
  </rowFields>
  <rowItems count="9">
    <i>
      <x/>
    </i>
    <i>
      <x v="1"/>
    </i>
    <i>
      <x v="2"/>
    </i>
    <i>
      <x v="3"/>
    </i>
    <i>
      <x v="4"/>
    </i>
    <i>
      <x v="5"/>
    </i>
    <i>
      <x v="6"/>
    </i>
    <i>
      <x v="7"/>
    </i>
    <i t="grand">
      <x/>
    </i>
  </rowItems>
  <colItems count="1">
    <i/>
  </colItems>
  <dataFields count="1">
    <dataField name="Average of Units_kWh" fld="4"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80575EA-12EF-4067-88DD-1AC6B4378EFD}" name="PivotTable11"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32:K49" firstHeaderRow="1" firstDataRow="1" firstDataCol="0"/>
  <pivotFields count="7">
    <pivotField showAll="0">
      <items count="218">
        <item x="16"/>
        <item x="92"/>
        <item x="75"/>
        <item x="13"/>
        <item x="187"/>
        <item x="149"/>
        <item x="53"/>
        <item x="181"/>
        <item x="18"/>
        <item x="123"/>
        <item x="24"/>
        <item x="78"/>
        <item x="126"/>
        <item x="20"/>
        <item x="122"/>
        <item x="28"/>
        <item x="33"/>
        <item x="113"/>
        <item x="93"/>
        <item x="1"/>
        <item x="47"/>
        <item x="150"/>
        <item x="192"/>
        <item x="213"/>
        <item x="42"/>
        <item x="2"/>
        <item x="169"/>
        <item x="99"/>
        <item x="32"/>
        <item x="206"/>
        <item x="137"/>
        <item x="106"/>
        <item x="110"/>
        <item x="26"/>
        <item x="7"/>
        <item x="130"/>
        <item x="205"/>
        <item x="49"/>
        <item x="163"/>
        <item x="133"/>
        <item x="116"/>
        <item x="39"/>
        <item x="72"/>
        <item x="211"/>
        <item x="131"/>
        <item x="77"/>
        <item x="140"/>
        <item x="105"/>
        <item x="71"/>
        <item x="170"/>
        <item x="162"/>
        <item x="43"/>
        <item x="198"/>
        <item x="151"/>
        <item x="136"/>
        <item x="57"/>
        <item x="63"/>
        <item x="179"/>
        <item x="74"/>
        <item x="4"/>
        <item x="173"/>
        <item x="109"/>
        <item x="15"/>
        <item x="55"/>
        <item x="119"/>
        <item x="159"/>
        <item x="193"/>
        <item x="178"/>
        <item x="104"/>
        <item x="184"/>
        <item x="50"/>
        <item x="25"/>
        <item x="12"/>
        <item x="174"/>
        <item x="208"/>
        <item x="186"/>
        <item x="46"/>
        <item x="212"/>
        <item x="199"/>
        <item x="38"/>
        <item x="0"/>
        <item x="125"/>
        <item x="154"/>
        <item x="76"/>
        <item x="90"/>
        <item x="194"/>
        <item x="115"/>
        <item x="175"/>
        <item x="143"/>
        <item x="127"/>
        <item x="139"/>
        <item x="183"/>
        <item x="83"/>
        <item x="182"/>
        <item x="146"/>
        <item x="30"/>
        <item x="121"/>
        <item x="158"/>
        <item x="188"/>
        <item x="67"/>
        <item x="196"/>
        <item x="10"/>
        <item x="129"/>
        <item x="88"/>
        <item x="94"/>
        <item x="132"/>
        <item x="59"/>
        <item x="157"/>
        <item x="41"/>
        <item x="111"/>
        <item x="97"/>
        <item x="202"/>
        <item x="134"/>
        <item x="155"/>
        <item x="117"/>
        <item x="210"/>
        <item x="190"/>
        <item x="6"/>
        <item x="51"/>
        <item x="34"/>
        <item x="176"/>
        <item x="128"/>
        <item x="203"/>
        <item x="107"/>
        <item x="35"/>
        <item x="98"/>
        <item x="54"/>
        <item x="204"/>
        <item x="36"/>
        <item x="95"/>
        <item x="148"/>
        <item x="60"/>
        <item x="70"/>
        <item x="14"/>
        <item x="145"/>
        <item x="103"/>
        <item x="166"/>
        <item x="85"/>
        <item x="68"/>
        <item x="167"/>
        <item x="156"/>
        <item x="147"/>
        <item x="100"/>
        <item x="142"/>
        <item x="112"/>
        <item x="172"/>
        <item x="40"/>
        <item x="80"/>
        <item x="9"/>
        <item x="31"/>
        <item x="191"/>
        <item x="87"/>
        <item x="89"/>
        <item x="102"/>
        <item x="17"/>
        <item x="69"/>
        <item x="138"/>
        <item x="79"/>
        <item x="66"/>
        <item x="189"/>
        <item x="11"/>
        <item x="84"/>
        <item x="56"/>
        <item x="160"/>
        <item x="8"/>
        <item x="52"/>
        <item x="44"/>
        <item x="215"/>
        <item x="152"/>
        <item x="209"/>
        <item x="168"/>
        <item x="62"/>
        <item x="19"/>
        <item x="161"/>
        <item x="164"/>
        <item x="108"/>
        <item x="82"/>
        <item x="21"/>
        <item x="101"/>
        <item x="144"/>
        <item x="135"/>
        <item x="120"/>
        <item x="124"/>
        <item x="180"/>
        <item x="58"/>
        <item x="214"/>
        <item x="171"/>
        <item x="141"/>
        <item x="27"/>
        <item x="61"/>
        <item x="3"/>
        <item x="114"/>
        <item x="86"/>
        <item x="207"/>
        <item x="64"/>
        <item x="197"/>
        <item x="195"/>
        <item x="185"/>
        <item x="153"/>
        <item x="73"/>
        <item x="201"/>
        <item x="165"/>
        <item x="23"/>
        <item x="200"/>
        <item x="91"/>
        <item x="5"/>
        <item x="48"/>
        <item x="22"/>
        <item x="96"/>
        <item x="65"/>
        <item x="45"/>
        <item x="37"/>
        <item x="81"/>
        <item x="177"/>
        <item x="118"/>
        <item x="29"/>
        <item x="216"/>
        <item t="default"/>
      </items>
    </pivotField>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D46B07-87FD-49A5-8A49-92C7F9B69F57}" name="PivotTable10"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32:D38" firstHeaderRow="0" firstDataRow="1" firstDataCol="1"/>
  <pivotFields count="7">
    <pivotField showAll="0">
      <items count="218">
        <item x="16"/>
        <item x="92"/>
        <item x="75"/>
        <item x="13"/>
        <item x="187"/>
        <item x="149"/>
        <item x="53"/>
        <item x="181"/>
        <item x="18"/>
        <item x="123"/>
        <item x="24"/>
        <item x="78"/>
        <item x="126"/>
        <item x="20"/>
        <item x="122"/>
        <item x="28"/>
        <item x="33"/>
        <item x="113"/>
        <item x="93"/>
        <item x="1"/>
        <item x="47"/>
        <item x="150"/>
        <item x="192"/>
        <item x="213"/>
        <item x="42"/>
        <item x="2"/>
        <item x="169"/>
        <item x="99"/>
        <item x="32"/>
        <item x="206"/>
        <item x="137"/>
        <item x="106"/>
        <item x="110"/>
        <item x="26"/>
        <item x="7"/>
        <item x="130"/>
        <item x="205"/>
        <item x="49"/>
        <item x="163"/>
        <item x="133"/>
        <item x="116"/>
        <item x="39"/>
        <item x="72"/>
        <item x="211"/>
        <item x="131"/>
        <item x="77"/>
        <item x="140"/>
        <item x="105"/>
        <item x="71"/>
        <item x="170"/>
        <item x="162"/>
        <item x="43"/>
        <item x="198"/>
        <item x="151"/>
        <item x="136"/>
        <item x="57"/>
        <item x="63"/>
        <item x="179"/>
        <item x="74"/>
        <item x="4"/>
        <item x="173"/>
        <item x="109"/>
        <item x="15"/>
        <item x="55"/>
        <item x="119"/>
        <item x="159"/>
        <item x="193"/>
        <item x="178"/>
        <item x="104"/>
        <item x="184"/>
        <item x="50"/>
        <item x="25"/>
        <item x="12"/>
        <item x="174"/>
        <item x="208"/>
        <item x="186"/>
        <item x="46"/>
        <item x="212"/>
        <item x="199"/>
        <item x="38"/>
        <item x="0"/>
        <item x="125"/>
        <item x="154"/>
        <item x="76"/>
        <item x="90"/>
        <item x="194"/>
        <item x="115"/>
        <item x="175"/>
        <item x="143"/>
        <item x="127"/>
        <item x="139"/>
        <item x="183"/>
        <item x="83"/>
        <item x="182"/>
        <item x="146"/>
        <item x="30"/>
        <item x="121"/>
        <item x="158"/>
        <item x="188"/>
        <item x="67"/>
        <item x="196"/>
        <item x="10"/>
        <item x="129"/>
        <item x="88"/>
        <item x="94"/>
        <item x="132"/>
        <item x="59"/>
        <item x="157"/>
        <item x="41"/>
        <item x="111"/>
        <item x="97"/>
        <item x="202"/>
        <item x="134"/>
        <item x="155"/>
        <item x="117"/>
        <item x="210"/>
        <item x="190"/>
        <item x="6"/>
        <item x="51"/>
        <item x="34"/>
        <item x="176"/>
        <item x="128"/>
        <item x="203"/>
        <item x="107"/>
        <item x="35"/>
        <item x="98"/>
        <item x="54"/>
        <item x="204"/>
        <item x="36"/>
        <item x="95"/>
        <item x="148"/>
        <item x="60"/>
        <item x="70"/>
        <item x="14"/>
        <item x="145"/>
        <item x="103"/>
        <item x="166"/>
        <item x="85"/>
        <item x="68"/>
        <item x="167"/>
        <item x="156"/>
        <item x="147"/>
        <item x="100"/>
        <item x="142"/>
        <item x="112"/>
        <item x="172"/>
        <item x="40"/>
        <item x="80"/>
        <item x="9"/>
        <item x="31"/>
        <item x="191"/>
        <item x="87"/>
        <item x="89"/>
        <item x="102"/>
        <item x="17"/>
        <item x="69"/>
        <item x="138"/>
        <item x="79"/>
        <item x="66"/>
        <item x="189"/>
        <item x="11"/>
        <item x="84"/>
        <item x="56"/>
        <item x="160"/>
        <item x="8"/>
        <item x="52"/>
        <item x="44"/>
        <item x="215"/>
        <item x="152"/>
        <item x="209"/>
        <item x="168"/>
        <item x="62"/>
        <item x="19"/>
        <item x="161"/>
        <item x="164"/>
        <item x="108"/>
        <item x="82"/>
        <item x="21"/>
        <item x="101"/>
        <item x="144"/>
        <item x="135"/>
        <item x="120"/>
        <item x="124"/>
        <item x="180"/>
        <item x="58"/>
        <item x="214"/>
        <item x="171"/>
        <item x="141"/>
        <item x="27"/>
        <item x="61"/>
        <item x="3"/>
        <item x="114"/>
        <item x="86"/>
        <item x="207"/>
        <item x="64"/>
        <item x="197"/>
        <item x="195"/>
        <item x="185"/>
        <item x="153"/>
        <item x="73"/>
        <item x="201"/>
        <item x="165"/>
        <item x="23"/>
        <item x="200"/>
        <item x="91"/>
        <item x="5"/>
        <item x="48"/>
        <item x="22"/>
        <item x="96"/>
        <item x="65"/>
        <item x="45"/>
        <item x="37"/>
        <item x="81"/>
        <item x="177"/>
        <item x="118"/>
        <item x="29"/>
        <item x="216"/>
        <item t="default"/>
      </items>
    </pivotField>
    <pivotField showAll="0"/>
    <pivotField dataField="1" showAll="0"/>
    <pivotField showAll="0"/>
    <pivotField showAll="0"/>
    <pivotField axis="axisRow" showAll="0">
      <items count="6">
        <item x="2"/>
        <item x="3"/>
        <item x="0"/>
        <item x="1"/>
        <item x="4"/>
        <item t="default"/>
      </items>
    </pivotField>
    <pivotField dataField="1" showAll="0"/>
  </pivotFields>
  <rowFields count="1">
    <field x="5"/>
  </rowFields>
  <rowItems count="6">
    <i>
      <x/>
    </i>
    <i>
      <x v="1"/>
    </i>
    <i>
      <x v="2"/>
    </i>
    <i>
      <x v="3"/>
    </i>
    <i>
      <x v="4"/>
    </i>
    <i t="grand">
      <x/>
    </i>
  </rowItems>
  <colFields count="1">
    <field x="-2"/>
  </colFields>
  <colItems count="2">
    <i>
      <x/>
    </i>
    <i i="1">
      <x v="1"/>
    </i>
  </colItems>
  <dataFields count="2">
    <dataField name="Average of Total Revenue" fld="6" subtotal="average" baseField="5" baseItem="0"/>
    <dataField name="Count of Customer_Type" fld="2" subtotal="count" baseField="0" baseItem="0"/>
  </dataField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5" count="1" selected="0">
            <x v="0"/>
          </reference>
        </references>
      </pivotArea>
    </chartFormat>
    <chartFormat chart="1" format="4">
      <pivotArea type="data" outline="0" fieldPosition="0">
        <references count="2">
          <reference field="4294967294" count="1" selected="0">
            <x v="0"/>
          </reference>
          <reference field="5" count="1" selected="0">
            <x v="1"/>
          </reference>
        </references>
      </pivotArea>
    </chartFormat>
    <chartFormat chart="1" format="5">
      <pivotArea type="data" outline="0" fieldPosition="0">
        <references count="2">
          <reference field="4294967294" count="1" selected="0">
            <x v="0"/>
          </reference>
          <reference field="5" count="1" selected="0">
            <x v="2"/>
          </reference>
        </references>
      </pivotArea>
    </chartFormat>
    <chartFormat chart="1" format="6">
      <pivotArea type="data" outline="0" fieldPosition="0">
        <references count="2">
          <reference field="4294967294" count="1" selected="0">
            <x v="0"/>
          </reference>
          <reference field="5" count="1" selected="0">
            <x v="3"/>
          </reference>
        </references>
      </pivotArea>
    </chartFormat>
    <chartFormat chart="1" format="7">
      <pivotArea type="data" outline="0" fieldPosition="0">
        <references count="2">
          <reference field="4294967294" count="1" selected="0">
            <x v="0"/>
          </reference>
          <reference field="5" count="1" selected="0">
            <x v="4"/>
          </reference>
        </references>
      </pivotArea>
    </chartFormat>
    <chartFormat chart="1" format="8" series="1">
      <pivotArea type="data" outline="0" fieldPosition="0">
        <references count="1">
          <reference field="4294967294" count="1" selected="0">
            <x v="1"/>
          </reference>
        </references>
      </pivotArea>
    </chartFormat>
    <chartFormat chart="1" format="9">
      <pivotArea type="data" outline="0" fieldPosition="0">
        <references count="2">
          <reference field="4294967294" count="1" selected="0">
            <x v="1"/>
          </reference>
          <reference field="5" count="1" selected="0">
            <x v="0"/>
          </reference>
        </references>
      </pivotArea>
    </chartFormat>
    <chartFormat chart="1" format="10">
      <pivotArea type="data" outline="0" fieldPosition="0">
        <references count="2">
          <reference field="4294967294" count="1" selected="0">
            <x v="1"/>
          </reference>
          <reference field="5" count="1" selected="0">
            <x v="1"/>
          </reference>
        </references>
      </pivotArea>
    </chartFormat>
    <chartFormat chart="1" format="11">
      <pivotArea type="data" outline="0" fieldPosition="0">
        <references count="2">
          <reference field="4294967294" count="1" selected="0">
            <x v="1"/>
          </reference>
          <reference field="5" count="1" selected="0">
            <x v="2"/>
          </reference>
        </references>
      </pivotArea>
    </chartFormat>
    <chartFormat chart="1" format="12">
      <pivotArea type="data" outline="0" fieldPosition="0">
        <references count="2">
          <reference field="4294967294" count="1" selected="0">
            <x v="1"/>
          </reference>
          <reference field="5" count="1" selected="0">
            <x v="3"/>
          </reference>
        </references>
      </pivotArea>
    </chartFormat>
    <chartFormat chart="1" format="13">
      <pivotArea type="data" outline="0" fieldPosition="0">
        <references count="2">
          <reference field="4294967294" count="1" selected="0">
            <x v="1"/>
          </reference>
          <reference field="5" count="1" selected="0">
            <x v="4"/>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5" count="1" selected="0">
            <x v="0"/>
          </reference>
        </references>
      </pivotArea>
    </chartFormat>
    <chartFormat chart="2" format="16">
      <pivotArea type="data" outline="0" fieldPosition="0">
        <references count="2">
          <reference field="4294967294" count="1" selected="0">
            <x v="0"/>
          </reference>
          <reference field="5" count="1" selected="0">
            <x v="1"/>
          </reference>
        </references>
      </pivotArea>
    </chartFormat>
    <chartFormat chart="2" format="17">
      <pivotArea type="data" outline="0" fieldPosition="0">
        <references count="2">
          <reference field="4294967294" count="1" selected="0">
            <x v="0"/>
          </reference>
          <reference field="5" count="1" selected="0">
            <x v="2"/>
          </reference>
        </references>
      </pivotArea>
    </chartFormat>
    <chartFormat chart="2" format="18">
      <pivotArea type="data" outline="0" fieldPosition="0">
        <references count="2">
          <reference field="4294967294" count="1" selected="0">
            <x v="0"/>
          </reference>
          <reference field="5" count="1" selected="0">
            <x v="3"/>
          </reference>
        </references>
      </pivotArea>
    </chartFormat>
    <chartFormat chart="2" format="19">
      <pivotArea type="data" outline="0" fieldPosition="0">
        <references count="2">
          <reference field="4294967294" count="1" selected="0">
            <x v="0"/>
          </reference>
          <reference field="5"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5" count="1" selected="0">
            <x v="0"/>
          </reference>
        </references>
      </pivotArea>
    </chartFormat>
    <chartFormat chart="2" format="22">
      <pivotArea type="data" outline="0" fieldPosition="0">
        <references count="2">
          <reference field="4294967294" count="1" selected="0">
            <x v="1"/>
          </reference>
          <reference field="5" count="1" selected="0">
            <x v="1"/>
          </reference>
        </references>
      </pivotArea>
    </chartFormat>
    <chartFormat chart="2" format="23">
      <pivotArea type="data" outline="0" fieldPosition="0">
        <references count="2">
          <reference field="4294967294" count="1" selected="0">
            <x v="1"/>
          </reference>
          <reference field="5" count="1" selected="0">
            <x v="2"/>
          </reference>
        </references>
      </pivotArea>
    </chartFormat>
    <chartFormat chart="2" format="24">
      <pivotArea type="data" outline="0" fieldPosition="0">
        <references count="2">
          <reference field="4294967294" count="1" selected="0">
            <x v="1"/>
          </reference>
          <reference field="5" count="1" selected="0">
            <x v="3"/>
          </reference>
        </references>
      </pivotArea>
    </chartFormat>
    <chartFormat chart="2" format="25">
      <pivotArea type="data" outline="0" fieldPosition="0">
        <references count="2">
          <reference field="4294967294" count="1" selected="0">
            <x v="1"/>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19B53C-796F-49ED-A700-8CF2D111D4DC}" name="PivotTable9"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F2:H8" firstHeaderRow="0" firstDataRow="1" firstDataCol="1"/>
  <pivotFields count="7">
    <pivotField showAll="0">
      <items count="218">
        <item x="16"/>
        <item x="92"/>
        <item x="75"/>
        <item x="13"/>
        <item x="187"/>
        <item x="149"/>
        <item x="53"/>
        <item x="181"/>
        <item x="18"/>
        <item x="123"/>
        <item x="24"/>
        <item x="78"/>
        <item x="126"/>
        <item x="20"/>
        <item x="122"/>
        <item x="28"/>
        <item x="33"/>
        <item x="113"/>
        <item x="93"/>
        <item x="1"/>
        <item x="47"/>
        <item x="150"/>
        <item x="192"/>
        <item x="213"/>
        <item x="42"/>
        <item x="2"/>
        <item x="169"/>
        <item x="99"/>
        <item x="32"/>
        <item x="206"/>
        <item x="137"/>
        <item x="106"/>
        <item x="110"/>
        <item x="26"/>
        <item x="7"/>
        <item x="130"/>
        <item x="205"/>
        <item x="49"/>
        <item x="163"/>
        <item x="133"/>
        <item x="116"/>
        <item x="39"/>
        <item x="72"/>
        <item x="211"/>
        <item x="131"/>
        <item x="77"/>
        <item x="140"/>
        <item x="105"/>
        <item x="71"/>
        <item x="170"/>
        <item x="162"/>
        <item x="43"/>
        <item x="198"/>
        <item x="151"/>
        <item x="136"/>
        <item x="57"/>
        <item x="63"/>
        <item x="179"/>
        <item x="74"/>
        <item x="4"/>
        <item x="173"/>
        <item x="109"/>
        <item x="15"/>
        <item x="55"/>
        <item x="119"/>
        <item x="159"/>
        <item x="193"/>
        <item x="178"/>
        <item x="104"/>
        <item x="184"/>
        <item x="50"/>
        <item x="25"/>
        <item x="12"/>
        <item x="174"/>
        <item x="208"/>
        <item x="186"/>
        <item x="46"/>
        <item x="212"/>
        <item x="199"/>
        <item x="38"/>
        <item x="0"/>
        <item x="125"/>
        <item x="154"/>
        <item x="76"/>
        <item x="90"/>
        <item x="194"/>
        <item x="115"/>
        <item x="175"/>
        <item x="143"/>
        <item x="127"/>
        <item x="139"/>
        <item x="183"/>
        <item x="83"/>
        <item x="182"/>
        <item x="146"/>
        <item x="30"/>
        <item x="121"/>
        <item x="158"/>
        <item x="188"/>
        <item x="67"/>
        <item x="196"/>
        <item x="10"/>
        <item x="129"/>
        <item x="88"/>
        <item x="94"/>
        <item x="132"/>
        <item x="59"/>
        <item x="157"/>
        <item x="41"/>
        <item x="111"/>
        <item x="97"/>
        <item x="202"/>
        <item x="134"/>
        <item x="155"/>
        <item x="117"/>
        <item x="210"/>
        <item x="190"/>
        <item x="6"/>
        <item x="51"/>
        <item x="34"/>
        <item x="176"/>
        <item x="128"/>
        <item x="203"/>
        <item x="107"/>
        <item x="35"/>
        <item x="98"/>
        <item x="54"/>
        <item x="204"/>
        <item x="36"/>
        <item x="95"/>
        <item x="148"/>
        <item x="60"/>
        <item x="70"/>
        <item x="14"/>
        <item x="145"/>
        <item x="103"/>
        <item x="166"/>
        <item x="85"/>
        <item x="68"/>
        <item x="167"/>
        <item x="156"/>
        <item x="147"/>
        <item x="100"/>
        <item x="142"/>
        <item x="112"/>
        <item x="172"/>
        <item x="40"/>
        <item x="80"/>
        <item x="9"/>
        <item x="31"/>
        <item x="191"/>
        <item x="87"/>
        <item x="89"/>
        <item x="102"/>
        <item x="17"/>
        <item x="69"/>
        <item x="138"/>
        <item x="79"/>
        <item x="66"/>
        <item x="189"/>
        <item x="11"/>
        <item x="84"/>
        <item x="56"/>
        <item x="160"/>
        <item x="8"/>
        <item x="52"/>
        <item x="44"/>
        <item x="215"/>
        <item x="152"/>
        <item x="209"/>
        <item x="168"/>
        <item x="62"/>
        <item x="19"/>
        <item x="161"/>
        <item x="164"/>
        <item x="108"/>
        <item x="82"/>
        <item x="21"/>
        <item x="101"/>
        <item x="144"/>
        <item x="135"/>
        <item x="120"/>
        <item x="124"/>
        <item x="180"/>
        <item x="58"/>
        <item x="214"/>
        <item x="171"/>
        <item x="141"/>
        <item x="27"/>
        <item x="61"/>
        <item x="3"/>
        <item x="114"/>
        <item x="86"/>
        <item x="207"/>
        <item x="64"/>
        <item x="197"/>
        <item x="195"/>
        <item x="185"/>
        <item x="153"/>
        <item x="73"/>
        <item x="201"/>
        <item x="165"/>
        <item x="23"/>
        <item x="200"/>
        <item x="91"/>
        <item x="5"/>
        <item x="48"/>
        <item x="22"/>
        <item x="96"/>
        <item x="65"/>
        <item x="45"/>
        <item x="37"/>
        <item x="81"/>
        <item x="177"/>
        <item x="118"/>
        <item x="29"/>
        <item x="216"/>
        <item t="default"/>
      </items>
    </pivotField>
    <pivotField showAll="0"/>
    <pivotField axis="axisRow" showAll="0">
      <items count="6">
        <item x="0"/>
        <item x="1"/>
        <item x="3"/>
        <item x="2"/>
        <item x="4"/>
        <item t="default"/>
      </items>
    </pivotField>
    <pivotField dataField="1" showAll="0"/>
    <pivotField showAll="0"/>
    <pivotField showAll="0"/>
    <pivotField dataField="1" showAll="0"/>
  </pivotFields>
  <rowFields count="1">
    <field x="2"/>
  </rowFields>
  <rowItems count="6">
    <i>
      <x/>
    </i>
    <i>
      <x v="1"/>
    </i>
    <i>
      <x v="2"/>
    </i>
    <i>
      <x v="3"/>
    </i>
    <i>
      <x v="4"/>
    </i>
    <i t="grand">
      <x/>
    </i>
  </rowItems>
  <colFields count="1">
    <field x="-2"/>
  </colFields>
  <colItems count="2">
    <i>
      <x/>
    </i>
    <i i="1">
      <x v="1"/>
    </i>
  </colItems>
  <dataFields count="2">
    <dataField name="Sum of Total Revenue" fld="6" baseField="0" baseItem="0"/>
    <dataField name="Sum of Units_kWh" fld="3" baseField="0" baseItem="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 chart="2" format="18">
      <pivotArea type="data" outline="0" fieldPosition="0">
        <references count="2">
          <reference field="4294967294" count="1" selected="0">
            <x v="0"/>
          </reference>
          <reference field="2" count="1" selected="0">
            <x v="3"/>
          </reference>
        </references>
      </pivotArea>
    </chartFormat>
    <chartFormat chart="2" format="19">
      <pivotArea type="data" outline="0" fieldPosition="0">
        <references count="2">
          <reference field="4294967294" count="1" selected="0">
            <x v="0"/>
          </reference>
          <reference field="2" count="1" selected="0">
            <x v="4"/>
          </reference>
        </references>
      </pivotArea>
    </chartFormat>
    <chartFormat chart="2" format="20" series="1">
      <pivotArea type="data" outline="0" fieldPosition="0">
        <references count="1">
          <reference field="4294967294" count="1" selected="0">
            <x v="1"/>
          </reference>
        </references>
      </pivotArea>
    </chartFormat>
    <chartFormat chart="2" format="21">
      <pivotArea type="data" outline="0" fieldPosition="0">
        <references count="2">
          <reference field="4294967294" count="1" selected="0">
            <x v="1"/>
          </reference>
          <reference field="2" count="1" selected="0">
            <x v="0"/>
          </reference>
        </references>
      </pivotArea>
    </chartFormat>
    <chartFormat chart="2" format="22">
      <pivotArea type="data" outline="0" fieldPosition="0">
        <references count="2">
          <reference field="4294967294" count="1" selected="0">
            <x v="1"/>
          </reference>
          <reference field="2" count="1" selected="0">
            <x v="1"/>
          </reference>
        </references>
      </pivotArea>
    </chartFormat>
    <chartFormat chart="2" format="23">
      <pivotArea type="data" outline="0" fieldPosition="0">
        <references count="2">
          <reference field="4294967294" count="1" selected="0">
            <x v="1"/>
          </reference>
          <reference field="2" count="1" selected="0">
            <x v="2"/>
          </reference>
        </references>
      </pivotArea>
    </chartFormat>
    <chartFormat chart="2" format="24">
      <pivotArea type="data" outline="0" fieldPosition="0">
        <references count="2">
          <reference field="4294967294" count="1" selected="0">
            <x v="1"/>
          </reference>
          <reference field="2" count="1" selected="0">
            <x v="3"/>
          </reference>
        </references>
      </pivotArea>
    </chartFormat>
    <chartFormat chart="2" format="25">
      <pivotArea type="data" outline="0" fieldPosition="0">
        <references count="2">
          <reference field="4294967294" count="1" selected="0">
            <x v="1"/>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D0D392C-497E-451E-B345-24DE593C0F4B}" name="PivotTable8" cacheId="3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2:C11" firstHeaderRow="0" firstDataRow="1" firstDataCol="1"/>
  <pivotFields count="7">
    <pivotField showAll="0">
      <items count="218">
        <item x="16"/>
        <item x="92"/>
        <item x="75"/>
        <item x="13"/>
        <item x="187"/>
        <item x="149"/>
        <item x="53"/>
        <item x="181"/>
        <item x="18"/>
        <item x="123"/>
        <item x="24"/>
        <item x="78"/>
        <item x="126"/>
        <item x="20"/>
        <item x="122"/>
        <item x="28"/>
        <item x="33"/>
        <item x="113"/>
        <item x="93"/>
        <item x="1"/>
        <item x="47"/>
        <item x="150"/>
        <item x="192"/>
        <item x="213"/>
        <item x="42"/>
        <item x="2"/>
        <item x="169"/>
        <item x="99"/>
        <item x="32"/>
        <item x="206"/>
        <item x="137"/>
        <item x="106"/>
        <item x="110"/>
        <item x="26"/>
        <item x="7"/>
        <item x="130"/>
        <item x="205"/>
        <item x="49"/>
        <item x="163"/>
        <item x="133"/>
        <item x="116"/>
        <item x="39"/>
        <item x="72"/>
        <item x="211"/>
        <item x="131"/>
        <item x="77"/>
        <item x="140"/>
        <item x="105"/>
        <item x="71"/>
        <item x="170"/>
        <item x="162"/>
        <item x="43"/>
        <item x="198"/>
        <item x="151"/>
        <item x="136"/>
        <item x="57"/>
        <item x="63"/>
        <item x="179"/>
        <item x="74"/>
        <item x="4"/>
        <item x="173"/>
        <item x="109"/>
        <item x="15"/>
        <item x="55"/>
        <item x="119"/>
        <item x="159"/>
        <item x="193"/>
        <item x="178"/>
        <item x="104"/>
        <item x="184"/>
        <item x="50"/>
        <item x="25"/>
        <item x="12"/>
        <item x="174"/>
        <item x="208"/>
        <item x="186"/>
        <item x="46"/>
        <item x="212"/>
        <item x="199"/>
        <item x="38"/>
        <item x="0"/>
        <item x="125"/>
        <item x="154"/>
        <item x="76"/>
        <item x="90"/>
        <item x="194"/>
        <item x="115"/>
        <item x="175"/>
        <item x="143"/>
        <item x="127"/>
        <item x="139"/>
        <item x="183"/>
        <item x="83"/>
        <item x="182"/>
        <item x="146"/>
        <item x="30"/>
        <item x="121"/>
        <item x="158"/>
        <item x="188"/>
        <item x="67"/>
        <item x="196"/>
        <item x="10"/>
        <item x="129"/>
        <item x="88"/>
        <item x="94"/>
        <item x="132"/>
        <item x="59"/>
        <item x="157"/>
        <item x="41"/>
        <item x="111"/>
        <item x="97"/>
        <item x="202"/>
        <item x="134"/>
        <item x="155"/>
        <item x="117"/>
        <item x="210"/>
        <item x="190"/>
        <item x="6"/>
        <item x="51"/>
        <item x="34"/>
        <item x="176"/>
        <item x="128"/>
        <item x="203"/>
        <item x="107"/>
        <item x="35"/>
        <item x="98"/>
        <item x="54"/>
        <item x="204"/>
        <item x="36"/>
        <item x="95"/>
        <item x="148"/>
        <item x="60"/>
        <item x="70"/>
        <item x="14"/>
        <item x="145"/>
        <item x="103"/>
        <item x="166"/>
        <item x="85"/>
        <item x="68"/>
        <item x="167"/>
        <item x="156"/>
        <item x="147"/>
        <item x="100"/>
        <item x="142"/>
        <item x="112"/>
        <item x="172"/>
        <item x="40"/>
        <item x="80"/>
        <item x="9"/>
        <item x="31"/>
        <item x="191"/>
        <item x="87"/>
        <item x="89"/>
        <item x="102"/>
        <item x="17"/>
        <item x="69"/>
        <item x="138"/>
        <item x="79"/>
        <item x="66"/>
        <item x="189"/>
        <item x="11"/>
        <item x="84"/>
        <item x="56"/>
        <item x="160"/>
        <item x="8"/>
        <item x="52"/>
        <item x="44"/>
        <item x="215"/>
        <item x="152"/>
        <item x="209"/>
        <item x="168"/>
        <item x="62"/>
        <item x="19"/>
        <item x="161"/>
        <item x="164"/>
        <item x="108"/>
        <item x="82"/>
        <item x="21"/>
        <item x="101"/>
        <item x="144"/>
        <item x="135"/>
        <item x="120"/>
        <item x="124"/>
        <item x="180"/>
        <item x="58"/>
        <item x="214"/>
        <item x="171"/>
        <item x="141"/>
        <item x="27"/>
        <item x="61"/>
        <item x="3"/>
        <item x="114"/>
        <item x="86"/>
        <item x="207"/>
        <item x="64"/>
        <item x="197"/>
        <item x="195"/>
        <item x="185"/>
        <item x="153"/>
        <item x="73"/>
        <item x="201"/>
        <item x="165"/>
        <item x="23"/>
        <item x="200"/>
        <item x="91"/>
        <item x="5"/>
        <item x="48"/>
        <item x="22"/>
        <item x="96"/>
        <item x="65"/>
        <item x="45"/>
        <item x="37"/>
        <item x="81"/>
        <item x="177"/>
        <item x="118"/>
        <item x="29"/>
        <item x="216"/>
        <item t="default"/>
      </items>
    </pivotField>
    <pivotField axis="axisRow" showAll="0">
      <items count="9">
        <item x="1"/>
        <item x="3"/>
        <item x="4"/>
        <item x="5"/>
        <item x="2"/>
        <item x="0"/>
        <item x="6"/>
        <item x="7"/>
        <item t="default"/>
      </items>
    </pivotField>
    <pivotField showAll="0"/>
    <pivotField dataField="1" showAll="0"/>
    <pivotField showAll="0"/>
    <pivotField showAll="0"/>
    <pivotField dataField="1"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Units_kWh" fld="3" baseField="0" baseItem="0"/>
    <dataField name="Sum of Total Revenue" fld="6"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ding_Date1" xr10:uid="{4383CD68-0CEC-4520-9F42-846C0FED061E}" sourceName="Reading_Date">
  <pivotTables>
    <pivotTable tabId="35" name="PivotTable6"/>
    <pivotTable tabId="30" name="PivotTable2"/>
    <pivotTable tabId="33" name="PivotTable5"/>
    <pivotTable tabId="31" name="PivotTable3"/>
    <pivotTable tabId="32" name="PivotTable4"/>
  </pivotTables>
  <data>
    <tabular pivotCacheId="203127161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6D0B67D4-9BE7-42F2-B15D-9EF8E3FB2DC7}" sourceName="Area">
  <pivotTables>
    <pivotTable tabId="35" name="PivotTable6"/>
    <pivotTable tabId="30" name="PivotTable2"/>
    <pivotTable tabId="33" name="PivotTable5"/>
    <pivotTable tabId="31" name="PivotTable3"/>
    <pivotTable tabId="32" name="PivotTable4"/>
  </pivotTables>
  <data>
    <tabular pivotCacheId="2031271617">
      <items count="6">
        <i x="2" s="1"/>
        <i x="4" s="1"/>
        <i x="5" s="1"/>
        <i x="0"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1" xr10:uid="{8A6C313C-14CC-4CAB-A469-A89A1F86300A}" sourceName="Customer_Type">
  <pivotTables>
    <pivotTable tabId="35" name="PivotTable6"/>
    <pivotTable tabId="30" name="PivotTable2"/>
    <pivotTable tabId="33" name="PivotTable5"/>
    <pivotTable tabId="31" name="PivotTable3"/>
    <pivotTable tabId="32" name="PivotTable4"/>
  </pivotTables>
  <data>
    <tabular pivotCacheId="203127161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1" xr10:uid="{316623EC-5A36-4945-96BC-05681D45DC40}" sourceName="Payment_Status">
  <pivotTables>
    <pivotTable tabId="35" name="PivotTable6"/>
    <pivotTable tabId="30" name="PivotTable2"/>
    <pivotTable tabId="33" name="PivotTable5"/>
    <pivotTable tabId="31" name="PivotTable3"/>
    <pivotTable tabId="32" name="PivotTable4"/>
  </pivotTables>
  <data>
    <tabular pivotCacheId="2031271617">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5581AAE-4653-437E-9CDF-7BD5907D2D40}" sourceName="Customer_Type">
  <pivotTables>
    <pivotTable tabId="28" name="PivotTable9"/>
  </pivotTables>
  <data>
    <tabular pivotCacheId="1989959825">
      <items count="5">
        <i x="0" s="1"/>
        <i x="1" s="1"/>
        <i x="3" s="1"/>
        <i x="2" s="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5DBB8182-7328-4B61-8C7B-F34C10AF184F}" sourceName="Area">
  <pivotTables>
    <pivotTable tabId="28" name="PivotTable8"/>
  </pivotTables>
  <data>
    <tabular pivotCacheId="1989959825">
      <items count="8">
        <i x="1" s="1"/>
        <i x="3" s="1"/>
        <i x="4" s="1"/>
        <i x="5" s="1"/>
        <i x="2" s="1"/>
        <i x="0" s="1"/>
        <i x="6" s="1"/>
        <i x="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FD009F7D-617F-470A-BBED-B4D76D1AD30A}" sourceName="Payment_Status">
  <pivotTables>
    <pivotTable tabId="28" name="PivotTable10"/>
  </pivotTables>
  <data>
    <tabular pivotCacheId="1989959825">
      <items count="5">
        <i x="2" s="1"/>
        <i x="3" s="1"/>
        <i x="0" s="1"/>
        <i x="1"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66EB1ACF-8AC1-4089-A08B-140223A6D203}" cache="Slicer_Area1" caption="Area"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xr10:uid="{21F047DC-7BF7-4835-8959-10DD227D458B}" cache="Slicer_Customer_Type1" caption="Customer_Type"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Status" xr10:uid="{7FC7EE2B-E53B-426B-844E-DE474C68F033}" cache="Slicer_Payment_Status1" caption="Payment_Status"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ding_Date" xr10:uid="{35D35AA7-4FDC-4330-A367-955E17B16586}" cache="Slicer_Reading_Date1" caption="Reading_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ding_Date 1" xr10:uid="{A86B2C50-5BBC-45BB-9668-0C54D50A413A}" cache="Slicer_Reading_Date1" caption="Reading_Date" style="SlicerStyleLight3" rowHeight="234950"/>
  <slicer name="Area 1" xr10:uid="{B05B50E8-CDCD-441E-A1F5-295329C12F01}" cache="Slicer_Area1" caption="Area" style="SlicerStyleLight3" rowHeight="234950"/>
  <slicer name="Customer_Type 1" xr10:uid="{613ACA6C-DB31-4B04-894C-A370F2DD3D54}" cache="Slicer_Customer_Type1" caption="Customer_Type" style="SlicerStyleLight3" rowHeight="234950"/>
  <slicer name="Payment_Status 1" xr10:uid="{697AE490-4D52-488C-BE88-3F80C52D2616}" cache="Slicer_Payment_Status1" caption="Payment_Status" style="SlicerStyleLight3"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_Type 2" xr10:uid="{4F3DBCDF-C22E-410C-ACAA-1182AEE2759F}" cache="Slicer_Customer_Type" caption="Customer_Type" rowHeight="234950"/>
  <slicer name="Area 2" xr10:uid="{D7D47B30-F304-4878-8747-BE573BA85A7D}" cache="Slicer_Area" caption="Area" rowHeight="234950"/>
  <slicer name="Payment_Status 2" xr10:uid="{B39F9D2A-98DE-4CE7-BB0E-64A9963272A2}" cache="Slicer_Payment_Status" caption="Payment_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25A2F3-8205-47C5-AE4C-D08AE7CCE218}" name="Table2" displayName="Table2" ref="A1:H301" totalsRowShown="0" headerRowDxfId="0">
  <autoFilter ref="A1:H301" xr:uid="{1E25A2F3-8205-47C5-AE4C-D08AE7CCE218}"/>
  <sortState xmlns:xlrd2="http://schemas.microsoft.com/office/spreadsheetml/2017/richdata2" ref="A2:H301">
    <sortCondition ref="D1:D301"/>
  </sortState>
  <tableColumns count="8">
    <tableColumn id="1" xr3:uid="{6B654211-F9DD-42EF-8E81-EE2B0C63A563}" name="Meter_ID"/>
    <tableColumn id="2" xr3:uid="{6E6CEA87-0468-48F4-95BC-2559E6AE95E2}" name="Reading_Date" dataDxfId="2"/>
    <tableColumn id="3" xr3:uid="{BBCBFE19-4253-4985-A755-4E8707BC532D}" name="Area"/>
    <tableColumn id="4" xr3:uid="{7FC31A41-09B5-41AD-841D-BF1BC9BDA024}" name="Customer_Type"/>
    <tableColumn id="5" xr3:uid="{81C6EF0C-99EE-4C20-BA2D-A43C3E277AEE}" name="Units_kWh"/>
    <tableColumn id="6" xr3:uid="{FAD02E65-C78F-47D7-A409-4C2D574A4EC5}" name="Tariff_per_kWh" dataDxfId="1"/>
    <tableColumn id="7" xr3:uid="{C2119B73-F789-4DB0-AF5F-21BF1A789F21}" name="Payment_Status"/>
    <tableColumn id="8" xr3:uid="{2C0C49EF-A268-43AD-814A-9241AAD386FC}" name="Total Revenue" dataCellStyle="Currency">
      <calculatedColumnFormula>Table2[[#This Row],[Units_kWh]]*Table2[[#This Row],[Tariff_per_kWh]]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5"/>
  <sheetViews>
    <sheetView topLeftCell="A13" workbookViewId="0"/>
  </sheetViews>
  <sheetFormatPr defaultRowHeight="13.8"/>
  <cols>
    <col min="1" max="1" width="6" customWidth="1"/>
    <col min="2" max="2" width="25" customWidth="1"/>
    <col min="3" max="3" width="52" customWidth="1"/>
    <col min="4" max="7" width="18" customWidth="1"/>
    <col min="9" max="9" width="42" customWidth="1"/>
  </cols>
  <sheetData>
    <row r="1" spans="1:9">
      <c r="A1" s="1" t="s">
        <v>0</v>
      </c>
      <c r="B1" s="1" t="s">
        <v>1</v>
      </c>
      <c r="C1" s="1" t="s">
        <v>2</v>
      </c>
      <c r="D1" s="1" t="s">
        <v>3</v>
      </c>
      <c r="E1" s="1" t="s">
        <v>4</v>
      </c>
      <c r="F1" s="1" t="s">
        <v>5</v>
      </c>
      <c r="G1" s="1" t="s">
        <v>6</v>
      </c>
      <c r="I1" s="6" t="s">
        <v>7</v>
      </c>
    </row>
    <row r="2" spans="1:9" ht="41.4">
      <c r="A2" s="2">
        <v>1</v>
      </c>
      <c r="B2" s="2" t="s">
        <v>8</v>
      </c>
      <c r="C2" s="2" t="s">
        <v>9</v>
      </c>
      <c r="D2" s="2" t="s">
        <v>10</v>
      </c>
      <c r="E2" s="2">
        <v>300</v>
      </c>
      <c r="F2" s="2">
        <v>7</v>
      </c>
      <c r="G2" s="2" t="s">
        <v>11</v>
      </c>
      <c r="I2" s="2" t="s">
        <v>12</v>
      </c>
    </row>
    <row r="3" spans="1:9" ht="27.6">
      <c r="A3" s="2">
        <v>2</v>
      </c>
      <c r="B3" s="2" t="s">
        <v>13</v>
      </c>
      <c r="C3" s="2" t="s">
        <v>14</v>
      </c>
      <c r="D3" s="2" t="s">
        <v>15</v>
      </c>
      <c r="E3" s="2">
        <v>300</v>
      </c>
      <c r="F3" s="2">
        <v>7</v>
      </c>
      <c r="G3" s="2" t="s">
        <v>11</v>
      </c>
    </row>
    <row r="4" spans="1:9">
      <c r="A4" s="2">
        <v>3</v>
      </c>
      <c r="B4" s="2" t="s">
        <v>16</v>
      </c>
      <c r="C4" s="2" t="s">
        <v>17</v>
      </c>
      <c r="D4" s="2" t="s">
        <v>18</v>
      </c>
      <c r="E4" s="2">
        <v>300</v>
      </c>
      <c r="F4" s="2">
        <v>7</v>
      </c>
      <c r="G4" s="2" t="s">
        <v>11</v>
      </c>
    </row>
    <row r="5" spans="1:9">
      <c r="A5" s="2">
        <v>4</v>
      </c>
      <c r="B5" s="2" t="s">
        <v>19</v>
      </c>
      <c r="C5" s="2" t="s">
        <v>20</v>
      </c>
      <c r="D5" s="2" t="s">
        <v>21</v>
      </c>
      <c r="E5" s="2">
        <v>300</v>
      </c>
      <c r="F5" s="2">
        <v>7</v>
      </c>
      <c r="G5" s="2" t="s">
        <v>11</v>
      </c>
    </row>
    <row r="6" spans="1:9">
      <c r="A6" s="2">
        <v>5</v>
      </c>
      <c r="B6" s="2" t="s">
        <v>22</v>
      </c>
      <c r="C6" s="2" t="s">
        <v>23</v>
      </c>
      <c r="D6" s="2"/>
      <c r="E6" s="2">
        <v>0</v>
      </c>
      <c r="F6" s="2">
        <v>0</v>
      </c>
      <c r="G6" s="2" t="s">
        <v>24</v>
      </c>
    </row>
    <row r="7" spans="1:9">
      <c r="A7" s="2">
        <v>6</v>
      </c>
      <c r="B7" s="2" t="s">
        <v>25</v>
      </c>
      <c r="C7" s="2" t="s">
        <v>26</v>
      </c>
      <c r="D7" s="2" t="s">
        <v>27</v>
      </c>
      <c r="E7" s="2">
        <v>300</v>
      </c>
      <c r="F7" s="2">
        <v>7</v>
      </c>
      <c r="G7" s="2" t="s">
        <v>11</v>
      </c>
    </row>
    <row r="8" spans="1:9">
      <c r="A8" s="2">
        <v>7</v>
      </c>
      <c r="B8" s="2" t="s">
        <v>28</v>
      </c>
      <c r="C8" s="2" t="s">
        <v>29</v>
      </c>
      <c r="D8" s="2" t="s">
        <v>30</v>
      </c>
      <c r="E8" s="2">
        <v>300</v>
      </c>
      <c r="F8" s="2">
        <v>7</v>
      </c>
      <c r="G8" s="2" t="s">
        <v>11</v>
      </c>
    </row>
    <row r="9" spans="1:9">
      <c r="A9" s="2">
        <v>8</v>
      </c>
      <c r="B9" s="2" t="s">
        <v>31</v>
      </c>
      <c r="C9" s="2" t="s">
        <v>32</v>
      </c>
      <c r="D9" s="2" t="s">
        <v>33</v>
      </c>
      <c r="E9" s="2">
        <v>300</v>
      </c>
      <c r="F9" s="2">
        <v>7</v>
      </c>
      <c r="G9" s="2" t="s">
        <v>11</v>
      </c>
    </row>
    <row r="10" spans="1:9">
      <c r="A10" s="2">
        <v>9</v>
      </c>
      <c r="B10" s="2" t="s">
        <v>34</v>
      </c>
      <c r="C10" s="2" t="s">
        <v>35</v>
      </c>
      <c r="D10" s="2" t="s">
        <v>36</v>
      </c>
      <c r="E10" s="2">
        <v>300</v>
      </c>
      <c r="F10" s="2">
        <v>7</v>
      </c>
      <c r="G10" s="2" t="s">
        <v>11</v>
      </c>
    </row>
    <row r="11" spans="1:9">
      <c r="A11" s="2">
        <v>10</v>
      </c>
      <c r="B11" s="2" t="s">
        <v>37</v>
      </c>
      <c r="C11" s="2" t="s">
        <v>38</v>
      </c>
      <c r="D11" s="2" t="s">
        <v>39</v>
      </c>
      <c r="E11" s="2">
        <v>300</v>
      </c>
      <c r="F11" s="2">
        <v>7</v>
      </c>
      <c r="G11" s="2" t="s">
        <v>11</v>
      </c>
    </row>
    <row r="12" spans="1:9">
      <c r="A12" s="2">
        <v>11</v>
      </c>
      <c r="B12" s="2" t="s">
        <v>40</v>
      </c>
      <c r="C12" s="2" t="s">
        <v>41</v>
      </c>
      <c r="D12" s="2" t="s">
        <v>42</v>
      </c>
      <c r="E12" s="2">
        <v>300</v>
      </c>
      <c r="F12" s="2">
        <v>7</v>
      </c>
      <c r="G12" s="2" t="s">
        <v>11</v>
      </c>
    </row>
    <row r="13" spans="1:9">
      <c r="A13" s="2">
        <v>12</v>
      </c>
      <c r="B13" s="2" t="s">
        <v>43</v>
      </c>
      <c r="C13" s="2" t="s">
        <v>44</v>
      </c>
      <c r="D13" s="2" t="s">
        <v>45</v>
      </c>
      <c r="E13" s="2">
        <v>300</v>
      </c>
      <c r="F13" s="2">
        <v>7</v>
      </c>
      <c r="G13" s="2" t="s">
        <v>11</v>
      </c>
    </row>
    <row r="14" spans="1:9">
      <c r="A14" s="2">
        <v>13</v>
      </c>
      <c r="B14" s="2" t="s">
        <v>46</v>
      </c>
      <c r="C14" s="2" t="s">
        <v>47</v>
      </c>
      <c r="D14" s="2" t="s">
        <v>48</v>
      </c>
      <c r="E14" s="2">
        <v>300</v>
      </c>
      <c r="F14" s="2">
        <v>7</v>
      </c>
      <c r="G14" s="2" t="s">
        <v>11</v>
      </c>
    </row>
    <row r="15" spans="1:9">
      <c r="A15" s="2">
        <v>14</v>
      </c>
      <c r="B15" s="2" t="s">
        <v>49</v>
      </c>
      <c r="C15" s="2" t="s">
        <v>50</v>
      </c>
      <c r="D15" s="2" t="s">
        <v>51</v>
      </c>
      <c r="E15" s="2">
        <v>300</v>
      </c>
      <c r="F15" s="2">
        <v>7</v>
      </c>
      <c r="G15" s="2" t="s">
        <v>11</v>
      </c>
    </row>
    <row r="16" spans="1:9">
      <c r="A16" s="2">
        <v>15</v>
      </c>
      <c r="B16" s="2" t="s">
        <v>52</v>
      </c>
      <c r="C16" s="2" t="s">
        <v>53</v>
      </c>
      <c r="D16" s="2" t="s">
        <v>54</v>
      </c>
      <c r="E16" s="2">
        <v>300</v>
      </c>
      <c r="F16" s="2">
        <v>7</v>
      </c>
      <c r="G16" s="2" t="s">
        <v>11</v>
      </c>
    </row>
    <row r="17" spans="1:7">
      <c r="A17" s="2">
        <v>16</v>
      </c>
      <c r="B17" s="2" t="s">
        <v>55</v>
      </c>
      <c r="C17" s="2" t="s">
        <v>56</v>
      </c>
      <c r="D17" s="2" t="s">
        <v>57</v>
      </c>
      <c r="E17" s="2">
        <v>300</v>
      </c>
      <c r="F17" s="2">
        <v>7</v>
      </c>
      <c r="G17" s="2" t="s">
        <v>11</v>
      </c>
    </row>
    <row r="18" spans="1:7">
      <c r="A18" s="2">
        <v>17</v>
      </c>
      <c r="B18" s="2" t="s">
        <v>58</v>
      </c>
      <c r="C18" s="2" t="s">
        <v>59</v>
      </c>
      <c r="D18" s="2" t="s">
        <v>60</v>
      </c>
      <c r="E18" s="2">
        <v>300</v>
      </c>
      <c r="F18" s="2">
        <v>7</v>
      </c>
      <c r="G18" s="2" t="s">
        <v>11</v>
      </c>
    </row>
    <row r="19" spans="1:7">
      <c r="A19" s="2">
        <v>18</v>
      </c>
      <c r="B19" s="2" t="s">
        <v>61</v>
      </c>
      <c r="C19" s="2" t="s">
        <v>62</v>
      </c>
      <c r="D19" s="2" t="s">
        <v>63</v>
      </c>
      <c r="E19" s="2">
        <v>300</v>
      </c>
      <c r="F19" s="2">
        <v>7</v>
      </c>
      <c r="G19" s="2" t="s">
        <v>11</v>
      </c>
    </row>
    <row r="20" spans="1:7">
      <c r="A20" s="2">
        <v>19</v>
      </c>
      <c r="B20" s="2" t="s">
        <v>64</v>
      </c>
      <c r="C20" s="2" t="s">
        <v>65</v>
      </c>
      <c r="D20" s="2" t="s">
        <v>66</v>
      </c>
      <c r="E20" s="2">
        <v>300</v>
      </c>
      <c r="F20" s="2">
        <v>7</v>
      </c>
      <c r="G20" s="2" t="s">
        <v>11</v>
      </c>
    </row>
    <row r="21" spans="1:7">
      <c r="A21" s="2">
        <v>20</v>
      </c>
      <c r="B21" s="2" t="s">
        <v>67</v>
      </c>
      <c r="C21" s="2" t="s">
        <v>68</v>
      </c>
      <c r="D21" s="2" t="s">
        <v>69</v>
      </c>
      <c r="E21" s="2">
        <v>300</v>
      </c>
      <c r="F21" s="2">
        <v>7</v>
      </c>
      <c r="G21" s="2" t="s">
        <v>11</v>
      </c>
    </row>
    <row r="22" spans="1:7">
      <c r="A22" s="2">
        <v>21</v>
      </c>
      <c r="B22" s="2" t="s">
        <v>70</v>
      </c>
      <c r="C22" s="2" t="s">
        <v>71</v>
      </c>
      <c r="D22" s="2" t="s">
        <v>72</v>
      </c>
      <c r="E22" s="2">
        <v>300</v>
      </c>
      <c r="F22" s="2">
        <v>7</v>
      </c>
      <c r="G22" s="2" t="s">
        <v>11</v>
      </c>
    </row>
    <row r="23" spans="1:7">
      <c r="A23" s="2">
        <v>22</v>
      </c>
      <c r="B23" s="2" t="s">
        <v>73</v>
      </c>
      <c r="C23" s="2" t="s">
        <v>74</v>
      </c>
      <c r="D23" s="2" t="s">
        <v>75</v>
      </c>
      <c r="E23" s="2">
        <v>300</v>
      </c>
      <c r="F23" s="2">
        <v>7</v>
      </c>
      <c r="G23" s="2" t="s">
        <v>11</v>
      </c>
    </row>
    <row r="24" spans="1:7">
      <c r="A24" s="2">
        <v>23</v>
      </c>
      <c r="B24" s="2" t="s">
        <v>76</v>
      </c>
      <c r="C24" s="2" t="s">
        <v>77</v>
      </c>
      <c r="D24" s="2" t="s">
        <v>78</v>
      </c>
      <c r="E24" s="2">
        <v>300</v>
      </c>
      <c r="F24" s="2">
        <v>7</v>
      </c>
      <c r="G24" s="2" t="s">
        <v>11</v>
      </c>
    </row>
    <row r="25" spans="1:7">
      <c r="A25" s="2">
        <v>24</v>
      </c>
      <c r="B25" s="2" t="s">
        <v>79</v>
      </c>
      <c r="C25" s="2" t="s">
        <v>80</v>
      </c>
      <c r="D25" s="2" t="s">
        <v>81</v>
      </c>
      <c r="E25" s="2">
        <v>300</v>
      </c>
      <c r="F25" s="2">
        <v>7</v>
      </c>
      <c r="G25"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D4D1-C789-4A60-8F34-A57CC62FA363}">
  <dimension ref="A1:H301"/>
  <sheetViews>
    <sheetView topLeftCell="B1" workbookViewId="0">
      <selection activeCell="B261" sqref="B261:B262"/>
    </sheetView>
  </sheetViews>
  <sheetFormatPr defaultRowHeight="13.8"/>
  <cols>
    <col min="1" max="1" width="18" customWidth="1"/>
    <col min="2" max="4" width="21" customWidth="1"/>
    <col min="5" max="6" width="18" customWidth="1"/>
    <col min="7" max="7" width="20" customWidth="1"/>
    <col min="8" max="8" width="17.69921875" bestFit="1" customWidth="1"/>
  </cols>
  <sheetData>
    <row r="1" spans="1:8">
      <c r="A1" s="3" t="s">
        <v>94</v>
      </c>
      <c r="B1" s="3" t="s">
        <v>95</v>
      </c>
      <c r="C1" s="3" t="s">
        <v>96</v>
      </c>
      <c r="D1" s="3" t="s">
        <v>86</v>
      </c>
      <c r="E1" s="3" t="s">
        <v>97</v>
      </c>
      <c r="F1" s="3" t="s">
        <v>98</v>
      </c>
      <c r="G1" s="3" t="s">
        <v>99</v>
      </c>
      <c r="H1" s="34" t="s">
        <v>416</v>
      </c>
    </row>
    <row r="2" spans="1:8">
      <c r="A2" t="s">
        <v>256</v>
      </c>
      <c r="B2" s="4">
        <v>45867</v>
      </c>
      <c r="C2" t="s">
        <v>87</v>
      </c>
      <c r="D2" t="s">
        <v>106</v>
      </c>
      <c r="E2">
        <v>1955.8</v>
      </c>
      <c r="F2" s="5">
        <v>0.21199999999999999</v>
      </c>
      <c r="G2" t="s">
        <v>104</v>
      </c>
      <c r="H2" s="35">
        <f>Table2[[#This Row],[Units_kWh]]*Table2[[#This Row],[Tariff_per_kWh]]</f>
        <v>414.62959999999998</v>
      </c>
    </row>
    <row r="3" spans="1:8">
      <c r="A3" t="s">
        <v>378</v>
      </c>
      <c r="B3" s="4">
        <v>45699</v>
      </c>
      <c r="C3" t="s">
        <v>90</v>
      </c>
      <c r="D3" t="s">
        <v>106</v>
      </c>
      <c r="E3">
        <v>1900.5</v>
      </c>
      <c r="F3" s="5">
        <v>0.22500000000000001</v>
      </c>
      <c r="G3" t="s">
        <v>104</v>
      </c>
      <c r="H3" s="35">
        <f>Table2[[#This Row],[Units_kWh]]*Table2[[#This Row],[Tariff_per_kWh]]</f>
        <v>427.61250000000001</v>
      </c>
    </row>
    <row r="4" spans="1:8">
      <c r="A4" t="s">
        <v>272</v>
      </c>
      <c r="B4" s="4">
        <v>45717</v>
      </c>
      <c r="C4" t="s">
        <v>91</v>
      </c>
      <c r="D4" t="s">
        <v>106</v>
      </c>
      <c r="E4">
        <v>1713.4</v>
      </c>
      <c r="F4" s="5">
        <v>0.216</v>
      </c>
      <c r="G4" t="s">
        <v>104</v>
      </c>
      <c r="H4" s="35">
        <f>Table2[[#This Row],[Units_kWh]]*Table2[[#This Row],[Tariff_per_kWh]]</f>
        <v>370.09440000000001</v>
      </c>
    </row>
    <row r="5" spans="1:8">
      <c r="A5" t="s">
        <v>116</v>
      </c>
      <c r="B5" s="4">
        <v>46153</v>
      </c>
      <c r="C5" t="s">
        <v>87</v>
      </c>
      <c r="D5" t="s">
        <v>106</v>
      </c>
      <c r="E5">
        <v>0</v>
      </c>
      <c r="F5" s="5">
        <v>0.22800000000000001</v>
      </c>
      <c r="G5" t="s">
        <v>102</v>
      </c>
      <c r="H5" s="35">
        <f>Table2[[#This Row],[Units_kWh]]*Table2[[#This Row],[Tariff_per_kWh]]</f>
        <v>0</v>
      </c>
    </row>
    <row r="6" spans="1:8">
      <c r="A6" t="s">
        <v>171</v>
      </c>
      <c r="B6" s="4">
        <v>45822</v>
      </c>
      <c r="C6" t="s">
        <v>90</v>
      </c>
      <c r="D6" t="s">
        <v>106</v>
      </c>
      <c r="E6">
        <v>2125</v>
      </c>
      <c r="F6" s="5">
        <v>0.215</v>
      </c>
      <c r="G6" t="s">
        <v>464</v>
      </c>
      <c r="H6" s="35">
        <f>Table2[[#This Row],[Units_kWh]]*Table2[[#This Row],[Tariff_per_kWh]]</f>
        <v>456.875</v>
      </c>
    </row>
    <row r="7" spans="1:8">
      <c r="A7" t="s">
        <v>386</v>
      </c>
      <c r="B7" s="4">
        <v>46206</v>
      </c>
      <c r="C7" t="s">
        <v>90</v>
      </c>
      <c r="D7" t="s">
        <v>106</v>
      </c>
      <c r="E7">
        <v>850.9</v>
      </c>
      <c r="F7" s="5">
        <v>0.216</v>
      </c>
      <c r="G7" t="s">
        <v>104</v>
      </c>
      <c r="H7" s="35">
        <f>Table2[[#This Row],[Units_kWh]]*Table2[[#This Row],[Tariff_per_kWh]]</f>
        <v>183.7944</v>
      </c>
    </row>
    <row r="8" spans="1:8">
      <c r="A8" t="s">
        <v>403</v>
      </c>
      <c r="B8" s="4">
        <v>45964</v>
      </c>
      <c r="C8" t="s">
        <v>87</v>
      </c>
      <c r="D8" t="s">
        <v>106</v>
      </c>
      <c r="E8">
        <v>1492.5</v>
      </c>
      <c r="F8" s="5">
        <v>0.223</v>
      </c>
      <c r="G8" t="s">
        <v>104</v>
      </c>
      <c r="H8" s="35">
        <f>Table2[[#This Row],[Units_kWh]]*Table2[[#This Row],[Tariff_per_kWh]]</f>
        <v>332.82749999999999</v>
      </c>
    </row>
    <row r="9" spans="1:8">
      <c r="A9" t="s">
        <v>353</v>
      </c>
      <c r="B9" s="4">
        <v>45747</v>
      </c>
      <c r="C9" t="s">
        <v>87</v>
      </c>
      <c r="D9" t="s">
        <v>106</v>
      </c>
      <c r="E9">
        <v>1294.0999999999999</v>
      </c>
      <c r="F9" s="5">
        <v>0.20899999999999999</v>
      </c>
      <c r="G9" t="s">
        <v>104</v>
      </c>
      <c r="H9" s="35">
        <f>Table2[[#This Row],[Units_kWh]]*Table2[[#This Row],[Tariff_per_kWh]]</f>
        <v>270.46689999999995</v>
      </c>
    </row>
    <row r="10" spans="1:8">
      <c r="A10" t="s">
        <v>333</v>
      </c>
      <c r="B10" s="4">
        <v>46076</v>
      </c>
      <c r="C10" t="s">
        <v>87</v>
      </c>
      <c r="D10" t="s">
        <v>106</v>
      </c>
      <c r="E10">
        <v>2003.7</v>
      </c>
      <c r="F10" s="5">
        <v>0.214</v>
      </c>
      <c r="G10" t="s">
        <v>104</v>
      </c>
      <c r="H10" s="35">
        <f>Table2[[#This Row],[Units_kWh]]*Table2[[#This Row],[Tariff_per_kWh]]</f>
        <v>428.79180000000002</v>
      </c>
    </row>
    <row r="11" spans="1:8">
      <c r="A11" t="s">
        <v>215</v>
      </c>
      <c r="B11" s="4">
        <v>46027</v>
      </c>
      <c r="C11" t="s">
        <v>89</v>
      </c>
      <c r="D11" t="s">
        <v>106</v>
      </c>
      <c r="E11">
        <v>693.1</v>
      </c>
      <c r="F11" s="5">
        <v>0.221</v>
      </c>
      <c r="G11" t="s">
        <v>104</v>
      </c>
      <c r="H11" s="35">
        <f>Table2[[#This Row],[Units_kWh]]*Table2[[#This Row],[Tariff_per_kWh]]</f>
        <v>153.17510000000001</v>
      </c>
    </row>
    <row r="12" spans="1:8">
      <c r="A12" t="s">
        <v>196</v>
      </c>
      <c r="B12" s="4">
        <v>45934</v>
      </c>
      <c r="C12" t="s">
        <v>89</v>
      </c>
      <c r="D12" t="s">
        <v>106</v>
      </c>
      <c r="E12">
        <v>2118.5</v>
      </c>
      <c r="F12" s="5">
        <v>0.221</v>
      </c>
      <c r="G12" t="s">
        <v>104</v>
      </c>
      <c r="H12" s="35">
        <f>Table2[[#This Row],[Units_kWh]]*Table2[[#This Row],[Tariff_per_kWh]]</f>
        <v>468.18849999999998</v>
      </c>
    </row>
    <row r="13" spans="1:8">
      <c r="A13" t="s">
        <v>404</v>
      </c>
      <c r="B13" s="4">
        <v>46065</v>
      </c>
      <c r="C13" t="s">
        <v>92</v>
      </c>
      <c r="D13" t="s">
        <v>106</v>
      </c>
      <c r="E13">
        <v>1782</v>
      </c>
      <c r="F13" s="5">
        <v>0.23</v>
      </c>
      <c r="G13" t="s">
        <v>137</v>
      </c>
      <c r="H13" s="35">
        <f>Table2[[#This Row],[Units_kWh]]*Table2[[#This Row],[Tariff_per_kWh]]</f>
        <v>409.86</v>
      </c>
    </row>
    <row r="14" spans="1:8">
      <c r="A14" t="s">
        <v>297</v>
      </c>
      <c r="B14" s="4">
        <v>45845</v>
      </c>
      <c r="C14" t="s">
        <v>89</v>
      </c>
      <c r="D14" t="s">
        <v>106</v>
      </c>
      <c r="E14">
        <v>1307.3</v>
      </c>
      <c r="F14" s="5">
        <v>0.217</v>
      </c>
      <c r="G14" t="s">
        <v>102</v>
      </c>
      <c r="H14" s="35">
        <f>Table2[[#This Row],[Units_kWh]]*Table2[[#This Row],[Tariff_per_kWh]]</f>
        <v>283.6841</v>
      </c>
    </row>
    <row r="15" spans="1:8">
      <c r="A15" t="s">
        <v>325</v>
      </c>
      <c r="B15" s="4">
        <v>45662</v>
      </c>
      <c r="C15" t="s">
        <v>88</v>
      </c>
      <c r="D15" t="s">
        <v>106</v>
      </c>
      <c r="E15">
        <v>1878.9</v>
      </c>
      <c r="F15" s="5">
        <v>0.21299999999999999</v>
      </c>
      <c r="G15" t="s">
        <v>104</v>
      </c>
      <c r="H15" s="35">
        <f>Table2[[#This Row],[Units_kWh]]*Table2[[#This Row],[Tariff_per_kWh]]</f>
        <v>400.20570000000004</v>
      </c>
    </row>
    <row r="16" spans="1:8">
      <c r="A16" t="s">
        <v>282</v>
      </c>
      <c r="B16" s="4">
        <v>46001</v>
      </c>
      <c r="C16" t="s">
        <v>91</v>
      </c>
      <c r="D16" t="s">
        <v>106</v>
      </c>
      <c r="E16">
        <v>2015.9</v>
      </c>
      <c r="F16" s="5">
        <v>0.22900000000000001</v>
      </c>
      <c r="G16" t="s">
        <v>142</v>
      </c>
      <c r="H16" s="35">
        <f>Table2[[#This Row],[Units_kWh]]*Table2[[#This Row],[Tariff_per_kWh]]</f>
        <v>461.64110000000005</v>
      </c>
    </row>
    <row r="17" spans="1:8">
      <c r="A17" t="s">
        <v>197</v>
      </c>
      <c r="B17" s="4">
        <v>45827</v>
      </c>
      <c r="C17" t="s">
        <v>87</v>
      </c>
      <c r="D17" t="s">
        <v>106</v>
      </c>
      <c r="E17">
        <v>915.9</v>
      </c>
      <c r="F17" s="5">
        <v>0.22700000000000001</v>
      </c>
      <c r="G17" t="s">
        <v>104</v>
      </c>
      <c r="H17" s="35">
        <f>Table2[[#This Row],[Units_kWh]]*Table2[[#This Row],[Tariff_per_kWh]]</f>
        <v>207.9093</v>
      </c>
    </row>
    <row r="18" spans="1:8">
      <c r="A18" t="s">
        <v>230</v>
      </c>
      <c r="B18" s="4">
        <v>45828</v>
      </c>
      <c r="C18" t="s">
        <v>92</v>
      </c>
      <c r="D18" t="s">
        <v>106</v>
      </c>
      <c r="E18">
        <v>745.8</v>
      </c>
      <c r="F18" s="5">
        <v>0.21</v>
      </c>
      <c r="G18" t="s">
        <v>102</v>
      </c>
      <c r="H18" s="35">
        <f>Table2[[#This Row],[Units_kWh]]*Table2[[#This Row],[Tariff_per_kWh]]</f>
        <v>156.61799999999999</v>
      </c>
    </row>
    <row r="19" spans="1:8">
      <c r="A19" t="s">
        <v>174</v>
      </c>
      <c r="B19" s="4">
        <v>46049</v>
      </c>
      <c r="C19" t="s">
        <v>88</v>
      </c>
      <c r="D19" t="s">
        <v>106</v>
      </c>
      <c r="E19">
        <v>2079.1</v>
      </c>
      <c r="F19" s="5">
        <v>0.22800000000000001</v>
      </c>
      <c r="G19" t="s">
        <v>104</v>
      </c>
      <c r="H19" s="35">
        <f>Table2[[#This Row],[Units_kWh]]*Table2[[#This Row],[Tariff_per_kWh]]</f>
        <v>474.03480000000002</v>
      </c>
    </row>
    <row r="20" spans="1:8">
      <c r="A20" t="s">
        <v>225</v>
      </c>
      <c r="B20" s="4">
        <v>45675</v>
      </c>
      <c r="C20" t="s">
        <v>462</v>
      </c>
      <c r="D20" t="s">
        <v>106</v>
      </c>
      <c r="E20">
        <v>1936.9</v>
      </c>
      <c r="F20" s="5">
        <v>0.223</v>
      </c>
      <c r="G20" t="s">
        <v>142</v>
      </c>
      <c r="H20" s="35">
        <f>Table2[[#This Row],[Units_kWh]]*Table2[[#This Row],[Tariff_per_kWh]]</f>
        <v>431.92870000000005</v>
      </c>
    </row>
    <row r="21" spans="1:8">
      <c r="A21" t="s">
        <v>159</v>
      </c>
      <c r="B21" s="4">
        <v>46103</v>
      </c>
      <c r="C21" t="s">
        <v>87</v>
      </c>
      <c r="D21" t="s">
        <v>106</v>
      </c>
      <c r="E21">
        <v>1250.4000000000001</v>
      </c>
      <c r="F21" s="5">
        <v>0.21</v>
      </c>
      <c r="G21" t="s">
        <v>464</v>
      </c>
      <c r="H21" s="35">
        <f>Table2[[#This Row],[Units_kWh]]*Table2[[#This Row],[Tariff_per_kWh]]</f>
        <v>262.584</v>
      </c>
    </row>
    <row r="22" spans="1:8">
      <c r="A22" t="s">
        <v>302</v>
      </c>
      <c r="B22" s="4">
        <v>46104</v>
      </c>
      <c r="C22" t="s">
        <v>88</v>
      </c>
      <c r="D22" t="s">
        <v>106</v>
      </c>
      <c r="E22">
        <v>1472</v>
      </c>
      <c r="F22" s="5">
        <v>0.219</v>
      </c>
      <c r="G22" t="s">
        <v>104</v>
      </c>
      <c r="H22" s="35">
        <f>Table2[[#This Row],[Units_kWh]]*Table2[[#This Row],[Tariff_per_kWh]]</f>
        <v>322.36799999999999</v>
      </c>
    </row>
    <row r="23" spans="1:8">
      <c r="A23" t="s">
        <v>123</v>
      </c>
      <c r="B23" s="4">
        <v>45691</v>
      </c>
      <c r="C23" t="s">
        <v>90</v>
      </c>
      <c r="D23" t="s">
        <v>106</v>
      </c>
      <c r="E23">
        <v>578.20000000000005</v>
      </c>
      <c r="F23" s="5">
        <v>0.22900000000000001</v>
      </c>
      <c r="G23" t="s">
        <v>104</v>
      </c>
      <c r="H23" s="35">
        <f>Table2[[#This Row],[Units_kWh]]*Table2[[#This Row],[Tariff_per_kWh]]</f>
        <v>132.40780000000001</v>
      </c>
    </row>
    <row r="24" spans="1:8">
      <c r="A24" t="s">
        <v>180</v>
      </c>
      <c r="B24" s="4">
        <v>46117</v>
      </c>
      <c r="C24" t="s">
        <v>90</v>
      </c>
      <c r="D24" t="s">
        <v>106</v>
      </c>
      <c r="E24">
        <v>1548.9</v>
      </c>
      <c r="F24" s="5">
        <v>0.21299999999999999</v>
      </c>
      <c r="G24" t="s">
        <v>142</v>
      </c>
      <c r="H24" s="35">
        <f>Table2[[#This Row],[Units_kWh]]*Table2[[#This Row],[Tariff_per_kWh]]</f>
        <v>329.91570000000002</v>
      </c>
    </row>
    <row r="25" spans="1:8">
      <c r="A25" t="s">
        <v>356</v>
      </c>
      <c r="B25" s="4">
        <v>46208</v>
      </c>
      <c r="C25" t="s">
        <v>92</v>
      </c>
      <c r="D25" t="s">
        <v>106</v>
      </c>
      <c r="E25">
        <v>1549.2</v>
      </c>
      <c r="F25" s="5">
        <v>0.21</v>
      </c>
      <c r="G25" t="s">
        <v>102</v>
      </c>
      <c r="H25" s="35">
        <f>Table2[[#This Row],[Units_kWh]]*Table2[[#This Row],[Tariff_per_kWh]]</f>
        <v>325.33199999999999</v>
      </c>
    </row>
    <row r="26" spans="1:8">
      <c r="A26" t="s">
        <v>131</v>
      </c>
      <c r="B26" s="4">
        <v>46194</v>
      </c>
      <c r="C26" t="s">
        <v>88</v>
      </c>
      <c r="D26" t="s">
        <v>106</v>
      </c>
      <c r="E26">
        <v>537.70000000000005</v>
      </c>
      <c r="F26" s="5">
        <v>0.16</v>
      </c>
      <c r="G26" t="s">
        <v>104</v>
      </c>
      <c r="H26" s="35">
        <f>Table2[[#This Row],[Units_kWh]]*Table2[[#This Row],[Tariff_per_kWh]]</f>
        <v>86.032000000000011</v>
      </c>
    </row>
    <row r="27" spans="1:8">
      <c r="A27" t="s">
        <v>319</v>
      </c>
      <c r="B27" s="4">
        <v>45681</v>
      </c>
      <c r="C27" t="s">
        <v>88</v>
      </c>
      <c r="D27" t="s">
        <v>106</v>
      </c>
      <c r="E27">
        <v>766.1</v>
      </c>
      <c r="F27" s="5">
        <v>0.22900000000000001</v>
      </c>
      <c r="G27" t="s">
        <v>104</v>
      </c>
      <c r="H27" s="35">
        <f>Table2[[#This Row],[Units_kWh]]*Table2[[#This Row],[Tariff_per_kWh]]</f>
        <v>175.43690000000001</v>
      </c>
    </row>
    <row r="28" spans="1:8">
      <c r="A28" t="s">
        <v>350</v>
      </c>
      <c r="B28" s="4">
        <v>45843</v>
      </c>
      <c r="C28" t="s">
        <v>87</v>
      </c>
      <c r="D28" t="s">
        <v>106</v>
      </c>
      <c r="E28">
        <v>685.2</v>
      </c>
      <c r="F28" s="5">
        <v>0.22800000000000001</v>
      </c>
      <c r="G28" t="s">
        <v>142</v>
      </c>
      <c r="H28" s="35">
        <f>Table2[[#This Row],[Units_kWh]]*Table2[[#This Row],[Tariff_per_kWh]]</f>
        <v>156.22560000000001</v>
      </c>
    </row>
    <row r="29" spans="1:8">
      <c r="A29" t="s">
        <v>136</v>
      </c>
      <c r="B29" s="4">
        <v>45739</v>
      </c>
      <c r="C29" t="s">
        <v>89</v>
      </c>
      <c r="D29" t="s">
        <v>106</v>
      </c>
      <c r="E29">
        <v>1249.2</v>
      </c>
      <c r="F29" s="5">
        <v>0.215</v>
      </c>
      <c r="G29" t="s">
        <v>102</v>
      </c>
      <c r="H29" s="35">
        <f>Table2[[#This Row],[Units_kWh]]*Table2[[#This Row],[Tariff_per_kWh]]</f>
        <v>268.57800000000003</v>
      </c>
    </row>
    <row r="30" spans="1:8">
      <c r="A30" t="s">
        <v>407</v>
      </c>
      <c r="B30" s="4">
        <v>46146</v>
      </c>
      <c r="C30" t="s">
        <v>90</v>
      </c>
      <c r="D30" t="s">
        <v>106</v>
      </c>
      <c r="E30">
        <v>1085.4000000000001</v>
      </c>
      <c r="F30" s="5">
        <v>0.224</v>
      </c>
      <c r="G30" t="s">
        <v>104</v>
      </c>
      <c r="H30" s="35">
        <f>Table2[[#This Row],[Units_kWh]]*Table2[[#This Row],[Tariff_per_kWh]]</f>
        <v>243.12960000000004</v>
      </c>
    </row>
    <row r="31" spans="1:8">
      <c r="A31" t="s">
        <v>188</v>
      </c>
      <c r="B31" s="4">
        <v>45694</v>
      </c>
      <c r="C31" t="s">
        <v>87</v>
      </c>
      <c r="D31" t="s">
        <v>106</v>
      </c>
      <c r="E31">
        <v>1428</v>
      </c>
      <c r="F31" s="5">
        <v>0.219</v>
      </c>
      <c r="G31" t="s">
        <v>166</v>
      </c>
      <c r="H31" s="35">
        <f>Table2[[#This Row],[Units_kWh]]*Table2[[#This Row],[Tariff_per_kWh]]</f>
        <v>312.73200000000003</v>
      </c>
    </row>
    <row r="32" spans="1:8">
      <c r="A32" t="s">
        <v>118</v>
      </c>
      <c r="B32" s="4">
        <v>46234</v>
      </c>
      <c r="C32" t="s">
        <v>87</v>
      </c>
      <c r="D32" t="s">
        <v>106</v>
      </c>
      <c r="E32">
        <v>1831.7</v>
      </c>
      <c r="F32" s="5">
        <v>0</v>
      </c>
      <c r="G32" t="s">
        <v>104</v>
      </c>
      <c r="H32" s="35">
        <f>Table2[[#This Row],[Units_kWh]]*Table2[[#This Row],[Tariff_per_kWh]]</f>
        <v>0</v>
      </c>
    </row>
    <row r="33" spans="1:8">
      <c r="A33" t="s">
        <v>326</v>
      </c>
      <c r="B33" s="4">
        <v>45911</v>
      </c>
      <c r="C33" t="s">
        <v>462</v>
      </c>
      <c r="D33" t="s">
        <v>106</v>
      </c>
      <c r="E33">
        <v>1869.4</v>
      </c>
      <c r="F33" s="5">
        <v>0.22500000000000001</v>
      </c>
      <c r="G33" t="s">
        <v>104</v>
      </c>
      <c r="H33" s="35">
        <f>Table2[[#This Row],[Units_kWh]]*Table2[[#This Row],[Tariff_per_kWh]]</f>
        <v>420.61500000000001</v>
      </c>
    </row>
    <row r="34" spans="1:8">
      <c r="A34" t="s">
        <v>210</v>
      </c>
      <c r="B34" s="4">
        <v>46028</v>
      </c>
      <c r="C34" t="s">
        <v>88</v>
      </c>
      <c r="D34" t="s">
        <v>106</v>
      </c>
      <c r="E34">
        <v>0</v>
      </c>
      <c r="F34" s="5">
        <v>0.21299999999999999</v>
      </c>
      <c r="G34" t="s">
        <v>104</v>
      </c>
      <c r="H34" s="35">
        <f>Table2[[#This Row],[Units_kWh]]*Table2[[#This Row],[Tariff_per_kWh]]</f>
        <v>0</v>
      </c>
    </row>
    <row r="35" spans="1:8">
      <c r="A35" t="s">
        <v>105</v>
      </c>
      <c r="B35" s="4">
        <v>45725</v>
      </c>
      <c r="C35" t="s">
        <v>88</v>
      </c>
      <c r="D35" t="s">
        <v>106</v>
      </c>
      <c r="E35">
        <v>496.2</v>
      </c>
      <c r="F35" s="5">
        <v>0.21299999999999999</v>
      </c>
      <c r="G35" t="s">
        <v>464</v>
      </c>
      <c r="H35" s="35">
        <f>Table2[[#This Row],[Units_kWh]]*Table2[[#This Row],[Tariff_per_kWh]]</f>
        <v>105.69059999999999</v>
      </c>
    </row>
    <row r="36" spans="1:8">
      <c r="A36" t="s">
        <v>261</v>
      </c>
      <c r="B36" s="4">
        <v>45695</v>
      </c>
      <c r="C36" t="s">
        <v>92</v>
      </c>
      <c r="D36" t="s">
        <v>106</v>
      </c>
      <c r="E36">
        <v>1768.6</v>
      </c>
      <c r="F36" s="5">
        <v>0.218</v>
      </c>
      <c r="G36" t="s">
        <v>102</v>
      </c>
      <c r="H36" s="35">
        <f>Table2[[#This Row],[Units_kWh]]*Table2[[#This Row],[Tariff_per_kWh]]</f>
        <v>385.5548</v>
      </c>
    </row>
    <row r="37" spans="1:8">
      <c r="A37" t="s">
        <v>381</v>
      </c>
      <c r="B37" s="4">
        <v>45968</v>
      </c>
      <c r="C37" t="s">
        <v>89</v>
      </c>
      <c r="D37" t="s">
        <v>106</v>
      </c>
      <c r="E37">
        <v>1984.8</v>
      </c>
      <c r="F37" s="5">
        <v>0.22</v>
      </c>
      <c r="G37" t="s">
        <v>104</v>
      </c>
      <c r="H37" s="35">
        <f>Table2[[#This Row],[Units_kWh]]*Table2[[#This Row],[Tariff_per_kWh]]</f>
        <v>436.65600000000001</v>
      </c>
    </row>
    <row r="38" spans="1:8">
      <c r="A38" t="s">
        <v>384</v>
      </c>
      <c r="B38" s="4">
        <v>45985</v>
      </c>
      <c r="C38" t="s">
        <v>89</v>
      </c>
      <c r="D38" t="s">
        <v>106</v>
      </c>
      <c r="E38">
        <v>0</v>
      </c>
      <c r="F38" s="5">
        <v>0.22600000000000001</v>
      </c>
      <c r="G38" t="s">
        <v>102</v>
      </c>
      <c r="H38" s="35">
        <f>Table2[[#This Row],[Units_kWh]]*Table2[[#This Row],[Tariff_per_kWh]]</f>
        <v>0</v>
      </c>
    </row>
    <row r="39" spans="1:8">
      <c r="A39" t="s">
        <v>209</v>
      </c>
      <c r="B39" s="4">
        <v>45994</v>
      </c>
      <c r="C39" t="s">
        <v>88</v>
      </c>
      <c r="D39" t="s">
        <v>106</v>
      </c>
      <c r="E39">
        <v>1150.9000000000001</v>
      </c>
      <c r="F39" s="5">
        <v>0.214</v>
      </c>
      <c r="G39" t="s">
        <v>104</v>
      </c>
      <c r="H39" s="35">
        <f>Table2[[#This Row],[Units_kWh]]*Table2[[#This Row],[Tariff_per_kWh]]</f>
        <v>246.29260000000002</v>
      </c>
    </row>
    <row r="40" spans="1:8">
      <c r="A40" t="s">
        <v>387</v>
      </c>
      <c r="B40" s="4">
        <v>46218</v>
      </c>
      <c r="C40" t="s">
        <v>87</v>
      </c>
      <c r="D40" t="s">
        <v>106</v>
      </c>
      <c r="E40">
        <v>1769.6</v>
      </c>
      <c r="F40" s="5">
        <v>0.22700000000000001</v>
      </c>
      <c r="G40" t="s">
        <v>104</v>
      </c>
      <c r="H40" s="35">
        <f>Table2[[#This Row],[Units_kWh]]*Table2[[#This Row],[Tariff_per_kWh]]</f>
        <v>401.69920000000002</v>
      </c>
    </row>
    <row r="41" spans="1:8">
      <c r="A41" t="s">
        <v>355</v>
      </c>
      <c r="B41" s="4">
        <v>45865</v>
      </c>
      <c r="C41" t="s">
        <v>87</v>
      </c>
      <c r="D41" t="s">
        <v>106</v>
      </c>
      <c r="E41">
        <v>0</v>
      </c>
      <c r="F41" s="5">
        <v>0.216</v>
      </c>
      <c r="G41" t="s">
        <v>102</v>
      </c>
      <c r="H41" s="35">
        <f>Table2[[#This Row],[Units_kWh]]*Table2[[#This Row],[Tariff_per_kWh]]</f>
        <v>0</v>
      </c>
    </row>
    <row r="42" spans="1:8">
      <c r="A42" t="s">
        <v>377</v>
      </c>
      <c r="B42" s="4">
        <v>45766</v>
      </c>
      <c r="C42" t="s">
        <v>91</v>
      </c>
      <c r="D42" t="s">
        <v>106</v>
      </c>
      <c r="E42">
        <v>1260.0999999999999</v>
      </c>
      <c r="F42" s="5">
        <v>0.224</v>
      </c>
      <c r="G42" t="s">
        <v>102</v>
      </c>
      <c r="H42" s="35">
        <f>Table2[[#This Row],[Units_kWh]]*Table2[[#This Row],[Tariff_per_kWh]]</f>
        <v>282.26240000000001</v>
      </c>
    </row>
    <row r="43" spans="1:8">
      <c r="A43" t="s">
        <v>252</v>
      </c>
      <c r="B43" s="4">
        <v>46023</v>
      </c>
      <c r="C43" t="s">
        <v>87</v>
      </c>
      <c r="D43" t="s">
        <v>106</v>
      </c>
      <c r="E43">
        <v>1411.3</v>
      </c>
      <c r="F43" s="5">
        <v>0.22</v>
      </c>
      <c r="G43" t="s">
        <v>104</v>
      </c>
      <c r="H43" s="35">
        <f>Table2[[#This Row],[Units_kWh]]*Table2[[#This Row],[Tariff_per_kWh]]</f>
        <v>310.48599999999999</v>
      </c>
    </row>
    <row r="44" spans="1:8">
      <c r="A44" t="s">
        <v>150</v>
      </c>
      <c r="B44" s="4">
        <v>45946</v>
      </c>
      <c r="C44" t="s">
        <v>87</v>
      </c>
      <c r="D44" t="s">
        <v>106</v>
      </c>
      <c r="E44">
        <v>1919.3</v>
      </c>
      <c r="F44" s="5">
        <v>0.222</v>
      </c>
      <c r="G44" t="s">
        <v>104</v>
      </c>
      <c r="H44" s="35">
        <f>Table2[[#This Row],[Units_kWh]]*Table2[[#This Row],[Tariff_per_kWh]]</f>
        <v>426.08460000000002</v>
      </c>
    </row>
    <row r="45" spans="1:8">
      <c r="A45" t="s">
        <v>186</v>
      </c>
      <c r="B45" s="4">
        <v>45947</v>
      </c>
      <c r="C45" t="s">
        <v>87</v>
      </c>
      <c r="D45" t="s">
        <v>106</v>
      </c>
      <c r="E45">
        <v>1200.8</v>
      </c>
      <c r="F45" s="5">
        <v>0.218</v>
      </c>
      <c r="G45" t="s">
        <v>104</v>
      </c>
      <c r="H45" s="35">
        <f>Table2[[#This Row],[Units_kWh]]*Table2[[#This Row],[Tariff_per_kWh]]</f>
        <v>261.77440000000001</v>
      </c>
    </row>
    <row r="46" spans="1:8">
      <c r="A46" t="s">
        <v>270</v>
      </c>
      <c r="B46" s="4">
        <v>45948</v>
      </c>
      <c r="C46" t="s">
        <v>89</v>
      </c>
      <c r="D46" t="s">
        <v>106</v>
      </c>
      <c r="E46">
        <v>941.9</v>
      </c>
      <c r="F46" s="5">
        <v>0.218</v>
      </c>
      <c r="G46" t="s">
        <v>104</v>
      </c>
      <c r="H46" s="35">
        <f>Table2[[#This Row],[Units_kWh]]*Table2[[#This Row],[Tariff_per_kWh]]</f>
        <v>205.33419999999998</v>
      </c>
    </row>
    <row r="47" spans="1:8">
      <c r="A47" t="s">
        <v>117</v>
      </c>
      <c r="B47" s="4">
        <v>45716</v>
      </c>
      <c r="C47" t="s">
        <v>88</v>
      </c>
      <c r="D47" t="s">
        <v>106</v>
      </c>
      <c r="E47">
        <v>1065.7</v>
      </c>
      <c r="F47" s="5">
        <v>0.23100000000000001</v>
      </c>
      <c r="G47" t="s">
        <v>142</v>
      </c>
      <c r="H47" s="35">
        <f>Table2[[#This Row],[Units_kWh]]*Table2[[#This Row],[Tariff_per_kWh]]</f>
        <v>246.17670000000001</v>
      </c>
    </row>
    <row r="48" spans="1:8">
      <c r="A48" t="s">
        <v>263</v>
      </c>
      <c r="B48" s="4">
        <v>45790</v>
      </c>
      <c r="C48" t="s">
        <v>87</v>
      </c>
      <c r="D48" t="s">
        <v>106</v>
      </c>
      <c r="E48">
        <v>1915.3</v>
      </c>
      <c r="F48" s="5">
        <v>0.218</v>
      </c>
      <c r="G48" t="s">
        <v>104</v>
      </c>
      <c r="H48" s="35">
        <f>Table2[[#This Row],[Units_kWh]]*Table2[[#This Row],[Tariff_per_kWh]]</f>
        <v>417.53539999999998</v>
      </c>
    </row>
    <row r="49" spans="1:8">
      <c r="A49" t="s">
        <v>322</v>
      </c>
      <c r="B49" s="4">
        <v>46081</v>
      </c>
      <c r="C49" t="s">
        <v>87</v>
      </c>
      <c r="D49" t="s">
        <v>106</v>
      </c>
      <c r="E49">
        <v>1433.7</v>
      </c>
      <c r="F49" s="5">
        <v>0.22</v>
      </c>
      <c r="G49" t="s">
        <v>104</v>
      </c>
      <c r="H49" s="35">
        <f>Table2[[#This Row],[Units_kWh]]*Table2[[#This Row],[Tariff_per_kWh]]</f>
        <v>315.41399999999999</v>
      </c>
    </row>
    <row r="50" spans="1:8">
      <c r="A50" t="s">
        <v>334</v>
      </c>
      <c r="B50" s="4">
        <v>46216</v>
      </c>
      <c r="C50" t="s">
        <v>89</v>
      </c>
      <c r="D50" t="s">
        <v>106</v>
      </c>
      <c r="E50">
        <v>2025.6</v>
      </c>
      <c r="F50" s="5">
        <v>0.223</v>
      </c>
      <c r="G50" t="s">
        <v>142</v>
      </c>
      <c r="H50" s="35">
        <f>Table2[[#This Row],[Units_kWh]]*Table2[[#This Row],[Tariff_per_kWh]]</f>
        <v>451.7088</v>
      </c>
    </row>
    <row r="51" spans="1:8">
      <c r="A51" t="s">
        <v>227</v>
      </c>
      <c r="B51" s="4">
        <v>45855</v>
      </c>
      <c r="C51" t="s">
        <v>87</v>
      </c>
      <c r="D51" t="s">
        <v>106</v>
      </c>
      <c r="E51">
        <v>818.9</v>
      </c>
      <c r="F51" s="5">
        <v>0.21299999999999999</v>
      </c>
      <c r="G51" t="s">
        <v>104</v>
      </c>
      <c r="H51" s="35">
        <f>Table2[[#This Row],[Units_kWh]]*Table2[[#This Row],[Tariff_per_kWh]]</f>
        <v>174.42569999999998</v>
      </c>
    </row>
    <row r="52" spans="1:8">
      <c r="A52" t="s">
        <v>287</v>
      </c>
      <c r="B52" s="4">
        <v>45703</v>
      </c>
      <c r="C52" t="s">
        <v>87</v>
      </c>
      <c r="D52" t="s">
        <v>106</v>
      </c>
      <c r="E52">
        <v>2187.8000000000002</v>
      </c>
      <c r="F52" s="5">
        <v>0</v>
      </c>
      <c r="G52" t="s">
        <v>104</v>
      </c>
      <c r="H52" s="35">
        <f>Table2[[#This Row],[Units_kWh]]*Table2[[#This Row],[Tariff_per_kWh]]</f>
        <v>0</v>
      </c>
    </row>
    <row r="53" spans="1:8">
      <c r="A53" t="s">
        <v>177</v>
      </c>
      <c r="B53" s="4">
        <v>46207</v>
      </c>
      <c r="C53" t="s">
        <v>87</v>
      </c>
      <c r="D53" t="s">
        <v>106</v>
      </c>
      <c r="E53">
        <v>1522.7</v>
      </c>
      <c r="F53" s="5">
        <v>0.223</v>
      </c>
      <c r="G53" t="s">
        <v>102</v>
      </c>
      <c r="H53" s="35">
        <f>Table2[[#This Row],[Units_kWh]]*Table2[[#This Row],[Tariff_per_kWh]]</f>
        <v>339.56210000000004</v>
      </c>
    </row>
    <row r="54" spans="1:8">
      <c r="A54" t="s">
        <v>295</v>
      </c>
      <c r="B54" s="4">
        <v>45750</v>
      </c>
      <c r="C54" t="s">
        <v>92</v>
      </c>
      <c r="D54" t="s">
        <v>106</v>
      </c>
      <c r="E54">
        <v>919.4</v>
      </c>
      <c r="F54" s="5">
        <v>0</v>
      </c>
      <c r="G54" t="s">
        <v>142</v>
      </c>
      <c r="H54" s="35">
        <f>Table2[[#This Row],[Units_kWh]]*Table2[[#This Row],[Tariff_per_kWh]]</f>
        <v>0</v>
      </c>
    </row>
    <row r="55" spans="1:8">
      <c r="A55" t="s">
        <v>113</v>
      </c>
      <c r="B55" s="4">
        <v>45841</v>
      </c>
      <c r="C55" t="s">
        <v>87</v>
      </c>
      <c r="D55" t="s">
        <v>106</v>
      </c>
      <c r="E55">
        <v>545.5</v>
      </c>
      <c r="F55" s="5">
        <v>0.22600000000000001</v>
      </c>
      <c r="G55" t="s">
        <v>104</v>
      </c>
      <c r="H55" s="35">
        <f>Table2[[#This Row],[Units_kWh]]*Table2[[#This Row],[Tariff_per_kWh]]</f>
        <v>123.283</v>
      </c>
    </row>
    <row r="56" spans="1:8">
      <c r="A56" t="s">
        <v>411</v>
      </c>
      <c r="B56" s="4">
        <v>45965</v>
      </c>
      <c r="C56" t="s">
        <v>88</v>
      </c>
      <c r="D56" t="s">
        <v>106</v>
      </c>
      <c r="E56">
        <v>2109.5</v>
      </c>
      <c r="F56" s="5">
        <v>0.22900000000000001</v>
      </c>
      <c r="G56" t="s">
        <v>102</v>
      </c>
      <c r="H56" s="35">
        <f>Table2[[#This Row],[Units_kWh]]*Table2[[#This Row],[Tariff_per_kWh]]</f>
        <v>483.07550000000003</v>
      </c>
    </row>
    <row r="57" spans="1:8">
      <c r="A57" t="s">
        <v>222</v>
      </c>
      <c r="B57" s="4">
        <v>46078</v>
      </c>
      <c r="C57" t="s">
        <v>87</v>
      </c>
      <c r="D57" t="s">
        <v>106</v>
      </c>
      <c r="E57">
        <v>539</v>
      </c>
      <c r="F57" s="5">
        <v>0.215</v>
      </c>
      <c r="G57" t="s">
        <v>104</v>
      </c>
      <c r="H57" s="35">
        <f>Table2[[#This Row],[Units_kWh]]*Table2[[#This Row],[Tariff_per_kWh]]</f>
        <v>115.88500000000001</v>
      </c>
    </row>
    <row r="58" spans="1:8">
      <c r="A58" t="s">
        <v>140</v>
      </c>
      <c r="B58" s="4">
        <v>45670</v>
      </c>
      <c r="C58" t="s">
        <v>90</v>
      </c>
      <c r="D58" t="s">
        <v>106</v>
      </c>
      <c r="E58">
        <v>1820.1</v>
      </c>
      <c r="F58" s="5">
        <v>0</v>
      </c>
      <c r="G58" t="s">
        <v>102</v>
      </c>
      <c r="H58" s="35">
        <f>Table2[[#This Row],[Units_kWh]]*Table2[[#This Row],[Tariff_per_kWh]]</f>
        <v>0</v>
      </c>
    </row>
    <row r="59" spans="1:8">
      <c r="A59" t="s">
        <v>112</v>
      </c>
      <c r="B59" s="4">
        <v>45987</v>
      </c>
      <c r="C59" t="s">
        <v>88</v>
      </c>
      <c r="D59" t="s">
        <v>106</v>
      </c>
      <c r="E59">
        <v>1162.3</v>
      </c>
      <c r="F59" s="5">
        <v>0.218</v>
      </c>
      <c r="G59" t="s">
        <v>104</v>
      </c>
      <c r="H59" s="35">
        <f>Table2[[#This Row],[Units_kWh]]*Table2[[#This Row],[Tariff_per_kWh]]</f>
        <v>253.38139999999999</v>
      </c>
    </row>
    <row r="60" spans="1:8">
      <c r="A60" t="s">
        <v>273</v>
      </c>
      <c r="B60" s="4">
        <v>45988</v>
      </c>
      <c r="C60" t="s">
        <v>87</v>
      </c>
      <c r="D60" t="s">
        <v>106</v>
      </c>
      <c r="E60">
        <v>405.1</v>
      </c>
      <c r="F60" s="5">
        <v>0.224</v>
      </c>
      <c r="G60" t="s">
        <v>102</v>
      </c>
      <c r="H60" s="35">
        <f>Table2[[#This Row],[Units_kWh]]*Table2[[#This Row],[Tariff_per_kWh]]</f>
        <v>90.742400000000004</v>
      </c>
    </row>
    <row r="61" spans="1:8">
      <c r="A61" t="s">
        <v>218</v>
      </c>
      <c r="B61" s="4">
        <v>45934</v>
      </c>
      <c r="C61" t="s">
        <v>88</v>
      </c>
      <c r="D61" t="s">
        <v>106</v>
      </c>
      <c r="E61">
        <v>994.4</v>
      </c>
      <c r="F61" s="5">
        <v>0.224</v>
      </c>
      <c r="G61" t="s">
        <v>104</v>
      </c>
      <c r="H61" s="35">
        <f>Table2[[#This Row],[Units_kWh]]*Table2[[#This Row],[Tariff_per_kWh]]</f>
        <v>222.7456</v>
      </c>
    </row>
    <row r="62" spans="1:8">
      <c r="A62" t="s">
        <v>161</v>
      </c>
      <c r="B62" s="4">
        <v>45828</v>
      </c>
      <c r="C62" t="s">
        <v>90</v>
      </c>
      <c r="D62" t="s">
        <v>106</v>
      </c>
      <c r="E62">
        <v>2009.8</v>
      </c>
      <c r="F62" s="5">
        <v>0.23100000000000001</v>
      </c>
      <c r="G62" t="s">
        <v>104</v>
      </c>
      <c r="H62" s="35">
        <f>Table2[[#This Row],[Units_kWh]]*Table2[[#This Row],[Tariff_per_kWh]]</f>
        <v>464.2638</v>
      </c>
    </row>
    <row r="63" spans="1:8">
      <c r="A63" t="s">
        <v>254</v>
      </c>
      <c r="B63" s="4">
        <v>46071</v>
      </c>
      <c r="C63" t="s">
        <v>87</v>
      </c>
      <c r="D63" t="s">
        <v>106</v>
      </c>
      <c r="E63">
        <v>498.5</v>
      </c>
      <c r="F63" s="5">
        <v>0.22600000000000001</v>
      </c>
      <c r="G63" t="s">
        <v>102</v>
      </c>
      <c r="H63" s="35">
        <f>Table2[[#This Row],[Units_kWh]]*Table2[[#This Row],[Tariff_per_kWh]]</f>
        <v>112.661</v>
      </c>
    </row>
    <row r="64" spans="1:8">
      <c r="A64" t="s">
        <v>195</v>
      </c>
      <c r="B64" s="4">
        <v>45810</v>
      </c>
      <c r="C64" t="s">
        <v>91</v>
      </c>
      <c r="D64" t="s">
        <v>106</v>
      </c>
      <c r="E64">
        <v>1789.7</v>
      </c>
      <c r="F64" s="5">
        <v>0</v>
      </c>
      <c r="G64" t="s">
        <v>104</v>
      </c>
      <c r="H64" s="35">
        <f>Table2[[#This Row],[Units_kWh]]*Table2[[#This Row],[Tariff_per_kWh]]</f>
        <v>0</v>
      </c>
    </row>
    <row r="65" spans="1:8">
      <c r="A65" t="s">
        <v>146</v>
      </c>
      <c r="B65" s="4">
        <v>46138</v>
      </c>
      <c r="C65" t="s">
        <v>88</v>
      </c>
      <c r="D65" t="s">
        <v>106</v>
      </c>
      <c r="E65">
        <v>0</v>
      </c>
      <c r="F65" s="5">
        <v>0.217</v>
      </c>
      <c r="G65" t="s">
        <v>104</v>
      </c>
      <c r="H65" s="35">
        <f>Table2[[#This Row],[Units_kWh]]*Table2[[#This Row],[Tariff_per_kWh]]</f>
        <v>0</v>
      </c>
    </row>
    <row r="66" spans="1:8">
      <c r="A66" t="s">
        <v>413</v>
      </c>
      <c r="B66" s="4">
        <v>46139</v>
      </c>
      <c r="C66" t="s">
        <v>89</v>
      </c>
      <c r="D66" t="s">
        <v>106</v>
      </c>
      <c r="E66">
        <v>995.1</v>
      </c>
      <c r="F66" s="5">
        <v>0.219</v>
      </c>
      <c r="G66" t="s">
        <v>464</v>
      </c>
      <c r="H66" s="35">
        <f>Table2[[#This Row],[Units_kWh]]*Table2[[#This Row],[Tariff_per_kWh]]</f>
        <v>217.92690000000002</v>
      </c>
    </row>
    <row r="67" spans="1:8">
      <c r="A67" t="s">
        <v>234</v>
      </c>
      <c r="B67" s="4">
        <v>45944</v>
      </c>
      <c r="C67" t="s">
        <v>88</v>
      </c>
      <c r="D67" t="s">
        <v>106</v>
      </c>
      <c r="E67">
        <v>977.5</v>
      </c>
      <c r="F67" s="5">
        <v>0.21099999999999999</v>
      </c>
      <c r="G67" t="s">
        <v>104</v>
      </c>
      <c r="H67" s="35">
        <f>Table2[[#This Row],[Units_kWh]]*Table2[[#This Row],[Tariff_per_kWh]]</f>
        <v>206.2525</v>
      </c>
    </row>
    <row r="68" spans="1:8">
      <c r="A68" t="s">
        <v>308</v>
      </c>
      <c r="B68" s="4">
        <v>45999</v>
      </c>
      <c r="C68" t="s">
        <v>87</v>
      </c>
      <c r="D68" t="s">
        <v>106</v>
      </c>
      <c r="E68">
        <v>1052</v>
      </c>
      <c r="F68" s="5">
        <v>0</v>
      </c>
      <c r="G68" t="s">
        <v>102</v>
      </c>
      <c r="H68" s="35">
        <f>Table2[[#This Row],[Units_kWh]]*Table2[[#This Row],[Tariff_per_kWh]]</f>
        <v>0</v>
      </c>
    </row>
    <row r="69" spans="1:8">
      <c r="A69" t="s">
        <v>248</v>
      </c>
      <c r="B69" s="4">
        <v>46151</v>
      </c>
      <c r="C69" t="s">
        <v>92</v>
      </c>
      <c r="D69" t="s">
        <v>106</v>
      </c>
      <c r="E69">
        <v>855.8</v>
      </c>
      <c r="F69" s="5">
        <v>0.21</v>
      </c>
      <c r="G69" t="s">
        <v>104</v>
      </c>
      <c r="H69" s="35">
        <f>Table2[[#This Row],[Units_kWh]]*Table2[[#This Row],[Tariff_per_kWh]]</f>
        <v>179.71799999999999</v>
      </c>
    </row>
    <row r="70" spans="1:8">
      <c r="A70" t="s">
        <v>194</v>
      </c>
      <c r="B70" s="4">
        <v>46102</v>
      </c>
      <c r="C70" t="s">
        <v>88</v>
      </c>
      <c r="D70" t="s">
        <v>106</v>
      </c>
      <c r="E70">
        <v>1920</v>
      </c>
      <c r="F70" s="5">
        <v>0.224</v>
      </c>
      <c r="G70" t="s">
        <v>104</v>
      </c>
      <c r="H70" s="35">
        <f>Table2[[#This Row],[Units_kWh]]*Table2[[#This Row],[Tariff_per_kWh]]</f>
        <v>430.08</v>
      </c>
    </row>
    <row r="71" spans="1:8">
      <c r="A71" t="s">
        <v>328</v>
      </c>
      <c r="B71" s="4">
        <v>45813</v>
      </c>
      <c r="C71" t="s">
        <v>88</v>
      </c>
      <c r="D71" t="s">
        <v>106</v>
      </c>
      <c r="E71">
        <v>1036</v>
      </c>
      <c r="F71" s="5">
        <v>0.21199999999999999</v>
      </c>
      <c r="G71" t="s">
        <v>104</v>
      </c>
      <c r="H71" s="35">
        <f>Table2[[#This Row],[Units_kWh]]*Table2[[#This Row],[Tariff_per_kWh]]</f>
        <v>219.63200000000001</v>
      </c>
    </row>
    <row r="72" spans="1:8">
      <c r="A72" t="s">
        <v>303</v>
      </c>
      <c r="B72" s="4">
        <v>46168</v>
      </c>
      <c r="C72" t="s">
        <v>87</v>
      </c>
      <c r="D72" t="s">
        <v>106</v>
      </c>
      <c r="E72">
        <v>1205.2</v>
      </c>
      <c r="F72" s="5">
        <v>0.21299999999999999</v>
      </c>
      <c r="G72" t="s">
        <v>104</v>
      </c>
      <c r="H72" s="35">
        <f>Table2[[#This Row],[Units_kWh]]*Table2[[#This Row],[Tariff_per_kWh]]</f>
        <v>256.70760000000001</v>
      </c>
    </row>
    <row r="73" spans="1:8">
      <c r="A73" t="s">
        <v>153</v>
      </c>
      <c r="B73" s="4">
        <v>46214</v>
      </c>
      <c r="C73" t="s">
        <v>90</v>
      </c>
      <c r="D73" t="s">
        <v>106</v>
      </c>
      <c r="E73">
        <v>1425.9</v>
      </c>
      <c r="F73" s="5">
        <v>0.217</v>
      </c>
      <c r="G73" t="s">
        <v>104</v>
      </c>
      <c r="H73" s="35">
        <f>Table2[[#This Row],[Units_kWh]]*Table2[[#This Row],[Tariff_per_kWh]]</f>
        <v>309.4203</v>
      </c>
    </row>
    <row r="74" spans="1:8">
      <c r="A74" t="s">
        <v>172</v>
      </c>
      <c r="B74" s="4">
        <v>46062</v>
      </c>
      <c r="C74" t="s">
        <v>88</v>
      </c>
      <c r="D74" t="s">
        <v>106</v>
      </c>
      <c r="E74">
        <v>1629.4</v>
      </c>
      <c r="F74" s="5">
        <v>0.21299999999999999</v>
      </c>
      <c r="G74" t="s">
        <v>142</v>
      </c>
      <c r="H74" s="35">
        <f>Table2[[#This Row],[Units_kWh]]*Table2[[#This Row],[Tariff_per_kWh]]</f>
        <v>347.06220000000002</v>
      </c>
    </row>
    <row r="75" spans="1:8">
      <c r="A75" t="s">
        <v>392</v>
      </c>
      <c r="B75" s="4">
        <v>45924</v>
      </c>
      <c r="C75" t="s">
        <v>91</v>
      </c>
      <c r="D75" t="s">
        <v>106</v>
      </c>
      <c r="E75">
        <v>926</v>
      </c>
      <c r="F75" s="5">
        <v>0.22800000000000001</v>
      </c>
      <c r="G75" t="s">
        <v>104</v>
      </c>
      <c r="H75" s="35">
        <f>Table2[[#This Row],[Units_kWh]]*Table2[[#This Row],[Tariff_per_kWh]]</f>
        <v>211.12800000000001</v>
      </c>
    </row>
    <row r="76" spans="1:8">
      <c r="A76" t="s">
        <v>187</v>
      </c>
      <c r="B76" s="4">
        <v>46008</v>
      </c>
      <c r="C76" t="s">
        <v>87</v>
      </c>
      <c r="D76" t="s">
        <v>106</v>
      </c>
      <c r="E76">
        <v>1804.5</v>
      </c>
      <c r="F76" s="5">
        <v>0.217</v>
      </c>
      <c r="G76" t="s">
        <v>104</v>
      </c>
      <c r="H76" s="35">
        <f>Table2[[#This Row],[Units_kWh]]*Table2[[#This Row],[Tariff_per_kWh]]</f>
        <v>391.57650000000001</v>
      </c>
    </row>
    <row r="77" spans="1:8">
      <c r="A77" t="s">
        <v>266</v>
      </c>
      <c r="B77" s="4">
        <v>46051</v>
      </c>
      <c r="C77" t="s">
        <v>89</v>
      </c>
      <c r="D77" t="s">
        <v>110</v>
      </c>
      <c r="E77">
        <v>0</v>
      </c>
      <c r="F77" s="5">
        <v>0.24299999999999999</v>
      </c>
      <c r="G77" t="s">
        <v>104</v>
      </c>
      <c r="H77" s="35">
        <f>Table2[[#This Row],[Units_kWh]]*Table2[[#This Row],[Tariff_per_kWh]]</f>
        <v>0</v>
      </c>
    </row>
    <row r="78" spans="1:8">
      <c r="A78" t="s">
        <v>144</v>
      </c>
      <c r="B78" s="4">
        <v>45822</v>
      </c>
      <c r="C78" t="s">
        <v>87</v>
      </c>
      <c r="D78" t="s">
        <v>110</v>
      </c>
      <c r="E78">
        <v>6117.6</v>
      </c>
      <c r="F78" s="5">
        <v>0.24199999999999999</v>
      </c>
      <c r="G78" t="s">
        <v>104</v>
      </c>
      <c r="H78" s="35">
        <f>Table2[[#This Row],[Units_kWh]]*Table2[[#This Row],[Tariff_per_kWh]]</f>
        <v>1480.4592</v>
      </c>
    </row>
    <row r="79" spans="1:8">
      <c r="A79" t="s">
        <v>268</v>
      </c>
      <c r="B79" s="4">
        <v>46000</v>
      </c>
      <c r="C79" t="s">
        <v>92</v>
      </c>
      <c r="D79" t="s">
        <v>110</v>
      </c>
      <c r="E79">
        <v>5701.5</v>
      </c>
      <c r="F79" s="5">
        <v>0.24299999999999999</v>
      </c>
      <c r="G79" t="s">
        <v>102</v>
      </c>
      <c r="H79" s="35">
        <f>Table2[[#This Row],[Units_kWh]]*Table2[[#This Row],[Tariff_per_kWh]]</f>
        <v>1385.4645</v>
      </c>
    </row>
    <row r="80" spans="1:8">
      <c r="A80" t="s">
        <v>374</v>
      </c>
      <c r="B80" s="4">
        <v>45779</v>
      </c>
      <c r="C80" t="s">
        <v>87</v>
      </c>
      <c r="D80" t="s">
        <v>110</v>
      </c>
      <c r="E80">
        <v>0</v>
      </c>
      <c r="F80" s="5">
        <v>0.25600000000000001</v>
      </c>
      <c r="G80" t="s">
        <v>104</v>
      </c>
      <c r="H80" s="35">
        <f>Table2[[#This Row],[Units_kWh]]*Table2[[#This Row],[Tariff_per_kWh]]</f>
        <v>0</v>
      </c>
    </row>
    <row r="81" spans="1:8">
      <c r="A81" t="s">
        <v>257</v>
      </c>
      <c r="B81" s="4">
        <v>46207</v>
      </c>
      <c r="C81" t="s">
        <v>87</v>
      </c>
      <c r="D81" t="s">
        <v>110</v>
      </c>
      <c r="E81">
        <v>5808.6</v>
      </c>
      <c r="F81" s="5">
        <v>0.253</v>
      </c>
      <c r="G81" t="s">
        <v>464</v>
      </c>
      <c r="H81" s="35">
        <f>Table2[[#This Row],[Units_kWh]]*Table2[[#This Row],[Tariff_per_kWh]]</f>
        <v>1469.5758000000001</v>
      </c>
    </row>
    <row r="82" spans="1:8">
      <c r="A82" t="s">
        <v>388</v>
      </c>
      <c r="B82" s="4">
        <v>45769</v>
      </c>
      <c r="C82" t="s">
        <v>87</v>
      </c>
      <c r="D82" t="s">
        <v>110</v>
      </c>
      <c r="E82">
        <v>5632.1</v>
      </c>
      <c r="F82" s="5">
        <v>0.26200000000000001</v>
      </c>
      <c r="G82" t="s">
        <v>104</v>
      </c>
      <c r="H82" s="35">
        <f>Table2[[#This Row],[Units_kWh]]*Table2[[#This Row],[Tariff_per_kWh]]</f>
        <v>1475.6102000000001</v>
      </c>
    </row>
    <row r="83" spans="1:8">
      <c r="A83" t="s">
        <v>365</v>
      </c>
      <c r="B83" s="4">
        <v>45770</v>
      </c>
      <c r="C83" t="s">
        <v>92</v>
      </c>
      <c r="D83" t="s">
        <v>110</v>
      </c>
      <c r="E83">
        <v>6076.6</v>
      </c>
      <c r="F83" s="5">
        <v>0.254</v>
      </c>
      <c r="G83" t="s">
        <v>142</v>
      </c>
      <c r="H83" s="35">
        <f>Table2[[#This Row],[Units_kWh]]*Table2[[#This Row],[Tariff_per_kWh]]</f>
        <v>1543.4564</v>
      </c>
    </row>
    <row r="84" spans="1:8">
      <c r="A84" t="s">
        <v>229</v>
      </c>
      <c r="B84" s="4">
        <v>46185</v>
      </c>
      <c r="C84" t="s">
        <v>462</v>
      </c>
      <c r="D84" t="s">
        <v>110</v>
      </c>
      <c r="E84">
        <v>6150.7</v>
      </c>
      <c r="F84" s="5">
        <v>0.24199999999999999</v>
      </c>
      <c r="G84" t="s">
        <v>104</v>
      </c>
      <c r="H84" s="35">
        <f>Table2[[#This Row],[Units_kWh]]*Table2[[#This Row],[Tariff_per_kWh]]</f>
        <v>1488.4694</v>
      </c>
    </row>
    <row r="85" spans="1:8">
      <c r="A85" t="s">
        <v>233</v>
      </c>
      <c r="B85" s="4">
        <v>45817</v>
      </c>
      <c r="C85" t="s">
        <v>87</v>
      </c>
      <c r="D85" t="s">
        <v>110</v>
      </c>
      <c r="E85">
        <v>4460.2</v>
      </c>
      <c r="F85" s="5">
        <v>0.26200000000000001</v>
      </c>
      <c r="G85" t="s">
        <v>142</v>
      </c>
      <c r="H85" s="35">
        <f>Table2[[#This Row],[Units_kWh]]*Table2[[#This Row],[Tariff_per_kWh]]</f>
        <v>1168.5724</v>
      </c>
    </row>
    <row r="86" spans="1:8">
      <c r="A86" t="s">
        <v>260</v>
      </c>
      <c r="B86" s="4">
        <v>45659</v>
      </c>
      <c r="C86" t="s">
        <v>87</v>
      </c>
      <c r="D86" t="s">
        <v>110</v>
      </c>
      <c r="E86">
        <v>2743.3</v>
      </c>
      <c r="F86" s="5">
        <v>0.25900000000000001</v>
      </c>
      <c r="G86" t="s">
        <v>137</v>
      </c>
      <c r="H86" s="35">
        <f>Table2[[#This Row],[Units_kWh]]*Table2[[#This Row],[Tariff_per_kWh]]</f>
        <v>710.51470000000006</v>
      </c>
    </row>
    <row r="87" spans="1:8">
      <c r="A87" t="s">
        <v>160</v>
      </c>
      <c r="B87" s="4">
        <v>45660</v>
      </c>
      <c r="C87" t="s">
        <v>87</v>
      </c>
      <c r="D87" t="s">
        <v>110</v>
      </c>
      <c r="E87">
        <v>3613.8</v>
      </c>
      <c r="F87" s="5">
        <v>0.25900000000000001</v>
      </c>
      <c r="G87" t="s">
        <v>142</v>
      </c>
      <c r="H87" s="35">
        <f>Table2[[#This Row],[Units_kWh]]*Table2[[#This Row],[Tariff_per_kWh]]</f>
        <v>935.97420000000011</v>
      </c>
    </row>
    <row r="88" spans="1:8">
      <c r="A88" t="s">
        <v>371</v>
      </c>
      <c r="B88" s="4">
        <v>45878</v>
      </c>
      <c r="C88" t="s">
        <v>87</v>
      </c>
      <c r="D88" t="s">
        <v>110</v>
      </c>
      <c r="E88">
        <v>6470.2</v>
      </c>
      <c r="F88" s="5">
        <v>0.26100000000000001</v>
      </c>
      <c r="G88" t="s">
        <v>104</v>
      </c>
      <c r="H88" s="35">
        <f>Table2[[#This Row],[Units_kWh]]*Table2[[#This Row],[Tariff_per_kWh]]</f>
        <v>1688.7221999999999</v>
      </c>
    </row>
    <row r="89" spans="1:8">
      <c r="A89" t="s">
        <v>320</v>
      </c>
      <c r="B89" s="4">
        <v>45775</v>
      </c>
      <c r="C89" t="s">
        <v>89</v>
      </c>
      <c r="D89" t="s">
        <v>110</v>
      </c>
      <c r="E89">
        <v>4182.5</v>
      </c>
      <c r="F89" s="5">
        <v>0.26</v>
      </c>
      <c r="G89" t="s">
        <v>104</v>
      </c>
      <c r="H89" s="35">
        <f>Table2[[#This Row],[Units_kWh]]*Table2[[#This Row],[Tariff_per_kWh]]</f>
        <v>1087.45</v>
      </c>
    </row>
    <row r="90" spans="1:8">
      <c r="A90" t="s">
        <v>109</v>
      </c>
      <c r="B90" s="4">
        <v>45683</v>
      </c>
      <c r="C90" t="s">
        <v>88</v>
      </c>
      <c r="D90" t="s">
        <v>110</v>
      </c>
      <c r="E90">
        <v>1836.8</v>
      </c>
      <c r="F90" s="5">
        <v>0.25</v>
      </c>
      <c r="G90" t="s">
        <v>142</v>
      </c>
      <c r="H90" s="35">
        <f>Table2[[#This Row],[Units_kWh]]*Table2[[#This Row],[Tariff_per_kWh]]</f>
        <v>459.2</v>
      </c>
    </row>
    <row r="91" spans="1:8">
      <c r="A91" t="s">
        <v>212</v>
      </c>
      <c r="B91" s="4">
        <v>45964</v>
      </c>
      <c r="C91" t="s">
        <v>92</v>
      </c>
      <c r="D91" t="s">
        <v>110</v>
      </c>
      <c r="E91">
        <v>6478.7</v>
      </c>
      <c r="F91" s="5">
        <v>0.25800000000000001</v>
      </c>
      <c r="G91" t="s">
        <v>104</v>
      </c>
      <c r="H91" s="35">
        <f>Table2[[#This Row],[Units_kWh]]*Table2[[#This Row],[Tariff_per_kWh]]</f>
        <v>1671.5046</v>
      </c>
    </row>
    <row r="92" spans="1:8">
      <c r="A92" t="s">
        <v>245</v>
      </c>
      <c r="B92" s="4">
        <v>46061</v>
      </c>
      <c r="C92" t="s">
        <v>88</v>
      </c>
      <c r="D92" t="s">
        <v>110</v>
      </c>
      <c r="E92">
        <v>6253.8</v>
      </c>
      <c r="F92" s="5">
        <v>0.26</v>
      </c>
      <c r="G92" t="s">
        <v>104</v>
      </c>
      <c r="H92" s="35">
        <f>Table2[[#This Row],[Units_kWh]]*Table2[[#This Row],[Tariff_per_kWh]]</f>
        <v>1625.9880000000001</v>
      </c>
    </row>
    <row r="93" spans="1:8">
      <c r="A93" t="s">
        <v>366</v>
      </c>
      <c r="B93" s="4">
        <v>46061</v>
      </c>
      <c r="C93" t="s">
        <v>88</v>
      </c>
      <c r="D93" t="s">
        <v>110</v>
      </c>
      <c r="E93">
        <v>6253.8</v>
      </c>
      <c r="F93" s="5">
        <v>0.26</v>
      </c>
      <c r="G93" t="s">
        <v>104</v>
      </c>
      <c r="H93" s="35">
        <f>Table2[[#This Row],[Units_kWh]]*Table2[[#This Row],[Tariff_per_kWh]]</f>
        <v>1625.9880000000001</v>
      </c>
    </row>
    <row r="94" spans="1:8">
      <c r="A94" t="s">
        <v>192</v>
      </c>
      <c r="B94" s="4">
        <v>46025</v>
      </c>
      <c r="C94" t="s">
        <v>87</v>
      </c>
      <c r="D94" t="s">
        <v>110</v>
      </c>
      <c r="E94">
        <v>5871.2</v>
      </c>
      <c r="F94" s="5">
        <v>0.248</v>
      </c>
      <c r="G94" t="s">
        <v>464</v>
      </c>
      <c r="H94" s="35">
        <f>Table2[[#This Row],[Units_kWh]]*Table2[[#This Row],[Tariff_per_kWh]]</f>
        <v>1456.0575999999999</v>
      </c>
    </row>
    <row r="95" spans="1:8">
      <c r="A95" t="s">
        <v>363</v>
      </c>
      <c r="B95" s="4">
        <v>46219</v>
      </c>
      <c r="C95" t="s">
        <v>92</v>
      </c>
      <c r="D95" t="s">
        <v>110</v>
      </c>
      <c r="E95">
        <v>5684.7</v>
      </c>
      <c r="F95" s="5">
        <v>0.24299999999999999</v>
      </c>
      <c r="G95" t="s">
        <v>104</v>
      </c>
      <c r="H95" s="35">
        <f>Table2[[#This Row],[Units_kWh]]*Table2[[#This Row],[Tariff_per_kWh]]</f>
        <v>1381.3820999999998</v>
      </c>
    </row>
    <row r="96" spans="1:8">
      <c r="A96" t="s">
        <v>300</v>
      </c>
      <c r="B96" s="4">
        <v>46115</v>
      </c>
      <c r="C96" t="s">
        <v>88</v>
      </c>
      <c r="D96" t="s">
        <v>110</v>
      </c>
      <c r="E96">
        <v>3074.2</v>
      </c>
      <c r="F96" s="5">
        <v>0.25</v>
      </c>
      <c r="G96" t="s">
        <v>104</v>
      </c>
      <c r="H96" s="35">
        <f>Table2[[#This Row],[Units_kWh]]*Table2[[#This Row],[Tariff_per_kWh]]</f>
        <v>768.55</v>
      </c>
    </row>
    <row r="97" spans="1:8">
      <c r="A97" t="s">
        <v>175</v>
      </c>
      <c r="B97" s="4">
        <v>45907</v>
      </c>
      <c r="C97" t="s">
        <v>88</v>
      </c>
      <c r="D97" t="s">
        <v>101</v>
      </c>
      <c r="E97">
        <v>379.3</v>
      </c>
      <c r="F97" s="5">
        <v>0.17399999999999999</v>
      </c>
      <c r="G97" t="s">
        <v>104</v>
      </c>
      <c r="H97" s="35">
        <f>Table2[[#This Row],[Units_kWh]]*Table2[[#This Row],[Tariff_per_kWh]]</f>
        <v>65.998199999999997</v>
      </c>
    </row>
    <row r="98" spans="1:8">
      <c r="A98" t="s">
        <v>207</v>
      </c>
      <c r="B98" s="4">
        <v>46070</v>
      </c>
      <c r="C98" t="s">
        <v>87</v>
      </c>
      <c r="D98" t="s">
        <v>101</v>
      </c>
      <c r="E98">
        <v>466.9</v>
      </c>
      <c r="F98" s="5">
        <v>0.17799999999999999</v>
      </c>
      <c r="G98" t="s">
        <v>104</v>
      </c>
      <c r="H98" s="35">
        <f>Table2[[#This Row],[Units_kWh]]*Table2[[#This Row],[Tariff_per_kWh]]</f>
        <v>83.108199999999997</v>
      </c>
    </row>
    <row r="99" spans="1:8">
      <c r="A99" t="s">
        <v>167</v>
      </c>
      <c r="B99" s="4">
        <v>46007</v>
      </c>
      <c r="C99" t="s">
        <v>87</v>
      </c>
      <c r="D99" t="s">
        <v>101</v>
      </c>
      <c r="E99">
        <v>356.3</v>
      </c>
      <c r="F99" s="5">
        <v>0.186</v>
      </c>
      <c r="G99" t="s">
        <v>104</v>
      </c>
      <c r="H99" s="35">
        <f>Table2[[#This Row],[Units_kWh]]*Table2[[#This Row],[Tariff_per_kWh]]</f>
        <v>66.271799999999999</v>
      </c>
    </row>
    <row r="100" spans="1:8">
      <c r="A100" t="s">
        <v>324</v>
      </c>
      <c r="B100" s="4">
        <v>46161</v>
      </c>
      <c r="C100" t="s">
        <v>88</v>
      </c>
      <c r="D100" t="s">
        <v>101</v>
      </c>
      <c r="E100">
        <v>410.9</v>
      </c>
      <c r="F100" s="5">
        <v>0.188</v>
      </c>
      <c r="G100" t="s">
        <v>104</v>
      </c>
      <c r="H100" s="35">
        <f>Table2[[#This Row],[Units_kWh]]*Table2[[#This Row],[Tariff_per_kWh]]</f>
        <v>77.249200000000002</v>
      </c>
    </row>
    <row r="101" spans="1:8">
      <c r="A101" t="s">
        <v>402</v>
      </c>
      <c r="B101" s="4">
        <v>46042</v>
      </c>
      <c r="C101" t="s">
        <v>87</v>
      </c>
      <c r="D101" t="s">
        <v>101</v>
      </c>
      <c r="E101">
        <v>570.70000000000005</v>
      </c>
      <c r="F101" s="5">
        <v>0.17799999999999999</v>
      </c>
      <c r="G101" t="s">
        <v>104</v>
      </c>
      <c r="H101" s="35">
        <f>Table2[[#This Row],[Units_kWh]]*Table2[[#This Row],[Tariff_per_kWh]]</f>
        <v>101.58460000000001</v>
      </c>
    </row>
    <row r="102" spans="1:8">
      <c r="A102" t="s">
        <v>203</v>
      </c>
      <c r="B102" s="4">
        <v>45939</v>
      </c>
      <c r="C102" t="s">
        <v>88</v>
      </c>
      <c r="D102" t="s">
        <v>101</v>
      </c>
      <c r="E102">
        <v>503.1</v>
      </c>
      <c r="F102" s="5">
        <v>0.17299999999999999</v>
      </c>
      <c r="G102" t="s">
        <v>104</v>
      </c>
      <c r="H102" s="35">
        <f>Table2[[#This Row],[Units_kWh]]*Table2[[#This Row],[Tariff_per_kWh]]</f>
        <v>87.036299999999997</v>
      </c>
    </row>
    <row r="103" spans="1:8">
      <c r="A103" t="s">
        <v>331</v>
      </c>
      <c r="B103" s="4">
        <v>46045</v>
      </c>
      <c r="C103" t="s">
        <v>88</v>
      </c>
      <c r="D103" t="s">
        <v>101</v>
      </c>
      <c r="E103">
        <v>296.10000000000002</v>
      </c>
      <c r="F103" s="5">
        <v>0.189</v>
      </c>
      <c r="G103" t="s">
        <v>464</v>
      </c>
      <c r="H103" s="35">
        <f>Table2[[#This Row],[Units_kWh]]*Table2[[#This Row],[Tariff_per_kWh]]</f>
        <v>55.962900000000005</v>
      </c>
    </row>
    <row r="104" spans="1:8">
      <c r="A104" t="s">
        <v>178</v>
      </c>
      <c r="B104" s="4">
        <v>46045</v>
      </c>
      <c r="C104" t="s">
        <v>88</v>
      </c>
      <c r="D104" t="s">
        <v>101</v>
      </c>
      <c r="E104">
        <v>296.10000000000002</v>
      </c>
      <c r="F104" s="5">
        <v>0.189</v>
      </c>
      <c r="G104" t="s">
        <v>104</v>
      </c>
      <c r="H104" s="35">
        <f>Table2[[#This Row],[Units_kWh]]*Table2[[#This Row],[Tariff_per_kWh]]</f>
        <v>55.962900000000005</v>
      </c>
    </row>
    <row r="105" spans="1:8">
      <c r="A105" t="s">
        <v>314</v>
      </c>
      <c r="B105" s="4">
        <v>46065</v>
      </c>
      <c r="C105" t="s">
        <v>87</v>
      </c>
      <c r="D105" t="s">
        <v>101</v>
      </c>
      <c r="E105">
        <v>532.1</v>
      </c>
      <c r="F105" s="5">
        <v>0.18</v>
      </c>
      <c r="G105" t="s">
        <v>104</v>
      </c>
      <c r="H105" s="35">
        <f>Table2[[#This Row],[Units_kWh]]*Table2[[#This Row],[Tariff_per_kWh]]</f>
        <v>95.778000000000006</v>
      </c>
    </row>
    <row r="106" spans="1:8">
      <c r="A106" t="s">
        <v>135</v>
      </c>
      <c r="B106" s="4">
        <v>45884</v>
      </c>
      <c r="C106" t="s">
        <v>92</v>
      </c>
      <c r="D106" t="s">
        <v>101</v>
      </c>
      <c r="E106">
        <v>86</v>
      </c>
      <c r="F106" s="5">
        <v>0.17199999999999999</v>
      </c>
      <c r="G106" t="s">
        <v>104</v>
      </c>
      <c r="H106" s="35">
        <f>Table2[[#This Row],[Units_kWh]]*Table2[[#This Row],[Tariff_per_kWh]]</f>
        <v>14.791999999999998</v>
      </c>
    </row>
    <row r="107" spans="1:8">
      <c r="A107" t="s">
        <v>304</v>
      </c>
      <c r="B107" s="4">
        <v>46203</v>
      </c>
      <c r="C107" t="s">
        <v>462</v>
      </c>
      <c r="D107" t="s">
        <v>101</v>
      </c>
      <c r="E107">
        <v>325.89999999999998</v>
      </c>
      <c r="F107" s="5">
        <v>0.17399999999999999</v>
      </c>
      <c r="G107" t="s">
        <v>142</v>
      </c>
      <c r="H107" s="35">
        <f>Table2[[#This Row],[Units_kWh]]*Table2[[#This Row],[Tariff_per_kWh]]</f>
        <v>56.706599999999995</v>
      </c>
    </row>
    <row r="108" spans="1:8">
      <c r="A108" t="s">
        <v>321</v>
      </c>
      <c r="B108" s="4">
        <v>46203</v>
      </c>
      <c r="C108" t="s">
        <v>462</v>
      </c>
      <c r="D108" t="s">
        <v>101</v>
      </c>
      <c r="E108">
        <v>470.3</v>
      </c>
      <c r="F108" s="5">
        <v>0.17899999999999999</v>
      </c>
      <c r="G108" t="s">
        <v>104</v>
      </c>
      <c r="H108" s="35">
        <f>Table2[[#This Row],[Units_kWh]]*Table2[[#This Row],[Tariff_per_kWh]]</f>
        <v>84.183700000000002</v>
      </c>
    </row>
    <row r="109" spans="1:8">
      <c r="A109" t="s">
        <v>211</v>
      </c>
      <c r="B109" s="4">
        <v>46204</v>
      </c>
      <c r="C109" t="s">
        <v>88</v>
      </c>
      <c r="D109" t="s">
        <v>101</v>
      </c>
      <c r="E109">
        <v>585.20000000000005</v>
      </c>
      <c r="F109" s="5">
        <v>0.17399999999999999</v>
      </c>
      <c r="G109" t="s">
        <v>102</v>
      </c>
      <c r="H109" s="35">
        <f>Table2[[#This Row],[Units_kWh]]*Table2[[#This Row],[Tariff_per_kWh]]</f>
        <v>101.8248</v>
      </c>
    </row>
    <row r="110" spans="1:8">
      <c r="A110" t="s">
        <v>133</v>
      </c>
      <c r="B110" s="4">
        <v>45658</v>
      </c>
      <c r="C110" t="s">
        <v>91</v>
      </c>
      <c r="D110" t="s">
        <v>101</v>
      </c>
      <c r="E110">
        <v>233.7</v>
      </c>
      <c r="F110" s="5">
        <v>0.182</v>
      </c>
      <c r="G110" t="s">
        <v>104</v>
      </c>
      <c r="H110" s="35">
        <f>Table2[[#This Row],[Units_kWh]]*Table2[[#This Row],[Tariff_per_kWh]]</f>
        <v>42.5334</v>
      </c>
    </row>
    <row r="111" spans="1:8">
      <c r="A111" t="s">
        <v>275</v>
      </c>
      <c r="B111" s="4">
        <v>45698</v>
      </c>
      <c r="C111" t="s">
        <v>92</v>
      </c>
      <c r="D111" t="s">
        <v>101</v>
      </c>
      <c r="E111">
        <v>581.20000000000005</v>
      </c>
      <c r="F111" s="5">
        <v>0</v>
      </c>
      <c r="G111" t="s">
        <v>142</v>
      </c>
      <c r="H111" s="35">
        <f>Table2[[#This Row],[Units_kWh]]*Table2[[#This Row],[Tariff_per_kWh]]</f>
        <v>0</v>
      </c>
    </row>
    <row r="112" spans="1:8">
      <c r="A112" t="s">
        <v>199</v>
      </c>
      <c r="B112" s="4">
        <v>45942</v>
      </c>
      <c r="C112" t="s">
        <v>462</v>
      </c>
      <c r="D112" t="s">
        <v>101</v>
      </c>
      <c r="E112">
        <v>199.8</v>
      </c>
      <c r="F112" s="5">
        <v>0.17199999999999999</v>
      </c>
      <c r="G112" t="s">
        <v>104</v>
      </c>
      <c r="H112" s="35">
        <f>Table2[[#This Row],[Units_kWh]]*Table2[[#This Row],[Tariff_per_kWh]]</f>
        <v>34.365600000000001</v>
      </c>
    </row>
    <row r="113" spans="1:8">
      <c r="A113" t="s">
        <v>122</v>
      </c>
      <c r="B113" s="4">
        <v>45997</v>
      </c>
      <c r="C113" t="s">
        <v>89</v>
      </c>
      <c r="D113" t="s">
        <v>101</v>
      </c>
      <c r="E113">
        <v>247.8</v>
      </c>
      <c r="F113" s="5">
        <v>0.182</v>
      </c>
      <c r="G113" t="s">
        <v>104</v>
      </c>
      <c r="H113" s="35">
        <f>Table2[[#This Row],[Units_kWh]]*Table2[[#This Row],[Tariff_per_kWh]]</f>
        <v>45.099600000000002</v>
      </c>
    </row>
    <row r="114" spans="1:8">
      <c r="A114" t="s">
        <v>357</v>
      </c>
      <c r="B114" s="4">
        <v>45790</v>
      </c>
      <c r="C114" t="s">
        <v>88</v>
      </c>
      <c r="D114" t="s">
        <v>101</v>
      </c>
      <c r="E114">
        <v>206.9</v>
      </c>
      <c r="F114" s="5">
        <v>0.189</v>
      </c>
      <c r="G114" t="s">
        <v>142</v>
      </c>
      <c r="H114" s="35">
        <f>Table2[[#This Row],[Units_kWh]]*Table2[[#This Row],[Tariff_per_kWh]]</f>
        <v>39.104100000000003</v>
      </c>
    </row>
    <row r="115" spans="1:8">
      <c r="A115" t="s">
        <v>327</v>
      </c>
      <c r="B115" s="4">
        <v>46209</v>
      </c>
      <c r="C115" t="s">
        <v>90</v>
      </c>
      <c r="D115" t="s">
        <v>101</v>
      </c>
      <c r="E115">
        <v>508.8</v>
      </c>
      <c r="F115" s="5">
        <v>0.185</v>
      </c>
      <c r="G115" t="s">
        <v>104</v>
      </c>
      <c r="H115" s="35">
        <f>Table2[[#This Row],[Units_kWh]]*Table2[[#This Row],[Tariff_per_kWh]]</f>
        <v>94.128</v>
      </c>
    </row>
    <row r="116" spans="1:8">
      <c r="A116" t="s">
        <v>134</v>
      </c>
      <c r="B116" s="4">
        <v>46210</v>
      </c>
      <c r="C116" t="s">
        <v>87</v>
      </c>
      <c r="D116" t="s">
        <v>101</v>
      </c>
      <c r="E116">
        <v>327.2</v>
      </c>
      <c r="F116" s="5">
        <v>0.184</v>
      </c>
      <c r="G116" t="s">
        <v>142</v>
      </c>
      <c r="H116" s="35">
        <f>Table2[[#This Row],[Units_kWh]]*Table2[[#This Row],[Tariff_per_kWh]]</f>
        <v>60.204799999999999</v>
      </c>
    </row>
    <row r="117" spans="1:8">
      <c r="A117" t="s">
        <v>253</v>
      </c>
      <c r="B117" s="4">
        <v>45950</v>
      </c>
      <c r="C117" t="s">
        <v>87</v>
      </c>
      <c r="D117" t="s">
        <v>101</v>
      </c>
      <c r="E117">
        <v>0</v>
      </c>
      <c r="F117" s="5">
        <v>23</v>
      </c>
      <c r="G117" t="s">
        <v>104</v>
      </c>
      <c r="H117" s="35">
        <f>Table2[[#This Row],[Units_kWh]]*Table2[[#This Row],[Tariff_per_kWh]]</f>
        <v>0</v>
      </c>
    </row>
    <row r="118" spans="1:8">
      <c r="A118" t="s">
        <v>244</v>
      </c>
      <c r="B118" s="4">
        <v>46146</v>
      </c>
      <c r="C118" t="s">
        <v>90</v>
      </c>
      <c r="D118" t="s">
        <v>101</v>
      </c>
      <c r="E118">
        <v>620.4</v>
      </c>
      <c r="F118" s="5">
        <v>0.188</v>
      </c>
      <c r="G118" t="s">
        <v>102</v>
      </c>
      <c r="H118" s="35">
        <f>Table2[[#This Row],[Units_kWh]]*Table2[[#This Row],[Tariff_per_kWh]]</f>
        <v>116.6352</v>
      </c>
    </row>
    <row r="119" spans="1:8">
      <c r="A119" t="s">
        <v>107</v>
      </c>
      <c r="B119" s="4">
        <v>45986</v>
      </c>
      <c r="C119" t="s">
        <v>88</v>
      </c>
      <c r="D119" t="s">
        <v>101</v>
      </c>
      <c r="E119">
        <v>184.8</v>
      </c>
      <c r="F119" s="5">
        <v>0.188</v>
      </c>
      <c r="G119" t="s">
        <v>104</v>
      </c>
      <c r="H119" s="35">
        <f>Table2[[#This Row],[Units_kWh]]*Table2[[#This Row],[Tariff_per_kWh]]</f>
        <v>34.742400000000004</v>
      </c>
    </row>
    <row r="120" spans="1:8">
      <c r="A120" t="s">
        <v>162</v>
      </c>
      <c r="B120" s="4">
        <v>45662</v>
      </c>
      <c r="C120" t="s">
        <v>91</v>
      </c>
      <c r="D120" t="s">
        <v>101</v>
      </c>
      <c r="E120">
        <v>0</v>
      </c>
      <c r="F120" s="5">
        <v>0.185</v>
      </c>
      <c r="G120" t="s">
        <v>104</v>
      </c>
      <c r="H120" s="35">
        <f>Table2[[#This Row],[Units_kWh]]*Table2[[#This Row],[Tariff_per_kWh]]</f>
        <v>0</v>
      </c>
    </row>
    <row r="121" spans="1:8">
      <c r="A121" t="s">
        <v>181</v>
      </c>
      <c r="B121" s="4">
        <v>45699</v>
      </c>
      <c r="C121" t="s">
        <v>87</v>
      </c>
      <c r="D121" t="s">
        <v>101</v>
      </c>
      <c r="E121">
        <v>565.70000000000005</v>
      </c>
      <c r="F121" s="5">
        <v>0</v>
      </c>
      <c r="G121" t="s">
        <v>104</v>
      </c>
      <c r="H121" s="35">
        <f>Table2[[#This Row],[Units_kWh]]*Table2[[#This Row],[Tariff_per_kWh]]</f>
        <v>0</v>
      </c>
    </row>
    <row r="122" spans="1:8">
      <c r="A122" t="s">
        <v>380</v>
      </c>
      <c r="B122" s="4">
        <v>45721</v>
      </c>
      <c r="C122" t="s">
        <v>88</v>
      </c>
      <c r="D122" t="s">
        <v>101</v>
      </c>
      <c r="E122">
        <v>608.1</v>
      </c>
      <c r="F122" s="5">
        <v>0.17899999999999999</v>
      </c>
      <c r="G122" t="s">
        <v>104</v>
      </c>
      <c r="H122" s="35">
        <f>Table2[[#This Row],[Units_kWh]]*Table2[[#This Row],[Tariff_per_kWh]]</f>
        <v>108.84990000000001</v>
      </c>
    </row>
    <row r="123" spans="1:8">
      <c r="A123" t="s">
        <v>345</v>
      </c>
      <c r="B123" s="4">
        <v>46219</v>
      </c>
      <c r="C123" t="s">
        <v>88</v>
      </c>
      <c r="D123" t="s">
        <v>101</v>
      </c>
      <c r="E123">
        <v>539</v>
      </c>
      <c r="F123" s="5">
        <v>0</v>
      </c>
      <c r="G123" t="s">
        <v>104</v>
      </c>
      <c r="H123" s="35">
        <f>Table2[[#This Row],[Units_kWh]]*Table2[[#This Row],[Tariff_per_kWh]]</f>
        <v>0</v>
      </c>
    </row>
    <row r="124" spans="1:8">
      <c r="A124" t="s">
        <v>382</v>
      </c>
      <c r="B124" s="4">
        <v>46013</v>
      </c>
      <c r="C124" t="s">
        <v>87</v>
      </c>
      <c r="D124" t="s">
        <v>101</v>
      </c>
      <c r="E124">
        <v>240</v>
      </c>
      <c r="F124" s="5">
        <v>0.18099999999999999</v>
      </c>
      <c r="G124" t="s">
        <v>142</v>
      </c>
      <c r="H124" s="35">
        <f>Table2[[#This Row],[Units_kWh]]*Table2[[#This Row],[Tariff_per_kWh]]</f>
        <v>43.44</v>
      </c>
    </row>
    <row r="125" spans="1:8">
      <c r="A125" t="s">
        <v>164</v>
      </c>
      <c r="B125" s="4">
        <v>46119</v>
      </c>
      <c r="C125" t="s">
        <v>87</v>
      </c>
      <c r="D125" t="s">
        <v>101</v>
      </c>
      <c r="E125">
        <v>592.6</v>
      </c>
      <c r="F125" s="5">
        <v>0.17399999999999999</v>
      </c>
      <c r="G125" t="s">
        <v>104</v>
      </c>
      <c r="H125" s="35">
        <f>Table2[[#This Row],[Units_kWh]]*Table2[[#This Row],[Tariff_per_kWh]]</f>
        <v>103.11239999999999</v>
      </c>
    </row>
    <row r="126" spans="1:8">
      <c r="A126" t="s">
        <v>267</v>
      </c>
      <c r="B126" s="4">
        <v>46048</v>
      </c>
      <c r="C126" t="s">
        <v>87</v>
      </c>
      <c r="D126" t="s">
        <v>101</v>
      </c>
      <c r="E126">
        <v>464.8</v>
      </c>
      <c r="F126" s="5">
        <v>0.188</v>
      </c>
      <c r="G126" t="s">
        <v>104</v>
      </c>
      <c r="H126" s="35">
        <f>Table2[[#This Row],[Units_kWh]]*Table2[[#This Row],[Tariff_per_kWh]]</f>
        <v>87.382400000000004</v>
      </c>
    </row>
    <row r="127" spans="1:8">
      <c r="A127" t="s">
        <v>348</v>
      </c>
      <c r="B127" s="4">
        <v>46005</v>
      </c>
      <c r="C127" t="s">
        <v>87</v>
      </c>
      <c r="D127" t="s">
        <v>101</v>
      </c>
      <c r="E127">
        <v>399.1</v>
      </c>
      <c r="F127" s="5">
        <v>0.182</v>
      </c>
      <c r="G127" t="s">
        <v>104</v>
      </c>
      <c r="H127" s="35">
        <f>Table2[[#This Row],[Units_kWh]]*Table2[[#This Row],[Tariff_per_kWh]]</f>
        <v>72.636200000000002</v>
      </c>
    </row>
    <row r="128" spans="1:8">
      <c r="A128" t="s">
        <v>119</v>
      </c>
      <c r="B128" s="4">
        <v>45837</v>
      </c>
      <c r="C128" t="s">
        <v>87</v>
      </c>
      <c r="D128" t="s">
        <v>101</v>
      </c>
      <c r="E128">
        <v>162.1</v>
      </c>
      <c r="F128" s="5">
        <v>0.185</v>
      </c>
      <c r="G128" t="s">
        <v>104</v>
      </c>
      <c r="H128" s="35">
        <f>Table2[[#This Row],[Units_kWh]]*Table2[[#This Row],[Tariff_per_kWh]]</f>
        <v>29.988499999999998</v>
      </c>
    </row>
    <row r="129" spans="1:8">
      <c r="A129" t="s">
        <v>323</v>
      </c>
      <c r="B129" s="4">
        <v>45778</v>
      </c>
      <c r="C129" t="s">
        <v>88</v>
      </c>
      <c r="D129" t="s">
        <v>101</v>
      </c>
      <c r="E129">
        <v>110.3</v>
      </c>
      <c r="F129" s="5">
        <v>0.17299999999999999</v>
      </c>
      <c r="G129" t="s">
        <v>104</v>
      </c>
      <c r="H129" s="35">
        <f>Table2[[#This Row],[Units_kWh]]*Table2[[#This Row],[Tariff_per_kWh]]</f>
        <v>19.081899999999997</v>
      </c>
    </row>
    <row r="130" spans="1:8">
      <c r="A130" t="s">
        <v>246</v>
      </c>
      <c r="B130" s="4">
        <v>45736</v>
      </c>
      <c r="C130" t="s">
        <v>87</v>
      </c>
      <c r="D130" t="s">
        <v>101</v>
      </c>
      <c r="E130">
        <v>133.4</v>
      </c>
      <c r="F130" s="5">
        <v>0.17199999999999999</v>
      </c>
      <c r="G130" t="s">
        <v>104</v>
      </c>
      <c r="H130" s="35">
        <f>Table2[[#This Row],[Units_kWh]]*Table2[[#This Row],[Tariff_per_kWh]]</f>
        <v>22.944800000000001</v>
      </c>
    </row>
    <row r="131" spans="1:8">
      <c r="A131" t="s">
        <v>352</v>
      </c>
      <c r="B131" s="4">
        <v>45982</v>
      </c>
      <c r="C131" t="s">
        <v>88</v>
      </c>
      <c r="D131" t="s">
        <v>101</v>
      </c>
      <c r="E131">
        <v>582.79999999999995</v>
      </c>
      <c r="F131" s="5">
        <v>0.186</v>
      </c>
      <c r="G131" t="s">
        <v>464</v>
      </c>
      <c r="H131" s="35">
        <f>Table2[[#This Row],[Units_kWh]]*Table2[[#This Row],[Tariff_per_kWh]]</f>
        <v>108.40079999999999</v>
      </c>
    </row>
    <row r="132" spans="1:8">
      <c r="A132" t="s">
        <v>349</v>
      </c>
      <c r="B132" s="4">
        <v>46106</v>
      </c>
      <c r="C132" t="s">
        <v>462</v>
      </c>
      <c r="D132" t="s">
        <v>101</v>
      </c>
      <c r="E132">
        <v>415.9</v>
      </c>
      <c r="F132" s="5">
        <v>0.17399999999999999</v>
      </c>
      <c r="G132" t="s">
        <v>102</v>
      </c>
      <c r="H132" s="35">
        <f>Table2[[#This Row],[Units_kWh]]*Table2[[#This Row],[Tariff_per_kWh]]</f>
        <v>72.366599999999991</v>
      </c>
    </row>
    <row r="133" spans="1:8">
      <c r="A133" t="s">
        <v>108</v>
      </c>
      <c r="B133" s="4">
        <v>45826</v>
      </c>
      <c r="C133" t="s">
        <v>91</v>
      </c>
      <c r="D133" t="s">
        <v>101</v>
      </c>
      <c r="E133">
        <v>213.3</v>
      </c>
      <c r="F133" s="5">
        <v>0</v>
      </c>
      <c r="G133" t="s">
        <v>104</v>
      </c>
      <c r="H133" s="35">
        <f>Table2[[#This Row],[Units_kWh]]*Table2[[#This Row],[Tariff_per_kWh]]</f>
        <v>0</v>
      </c>
    </row>
    <row r="134" spans="1:8">
      <c r="A134" t="s">
        <v>286</v>
      </c>
      <c r="B134" s="4">
        <v>45738</v>
      </c>
      <c r="C134" t="s">
        <v>87</v>
      </c>
      <c r="D134" t="s">
        <v>101</v>
      </c>
      <c r="E134">
        <v>589.9</v>
      </c>
      <c r="F134" s="5">
        <v>0.17499999999999999</v>
      </c>
      <c r="G134" t="s">
        <v>104</v>
      </c>
      <c r="H134" s="35">
        <f>Table2[[#This Row],[Units_kWh]]*Table2[[#This Row],[Tariff_per_kWh]]</f>
        <v>103.23249999999999</v>
      </c>
    </row>
    <row r="135" spans="1:8">
      <c r="A135" t="s">
        <v>337</v>
      </c>
      <c r="B135" s="4">
        <v>46001</v>
      </c>
      <c r="C135" t="s">
        <v>92</v>
      </c>
      <c r="D135" t="s">
        <v>101</v>
      </c>
      <c r="E135">
        <v>634.5</v>
      </c>
      <c r="F135" s="5">
        <v>0.186</v>
      </c>
      <c r="G135" t="s">
        <v>104</v>
      </c>
      <c r="H135" s="35">
        <f>Table2[[#This Row],[Units_kWh]]*Table2[[#This Row],[Tariff_per_kWh]]</f>
        <v>118.017</v>
      </c>
    </row>
    <row r="136" spans="1:8">
      <c r="A136" t="s">
        <v>405</v>
      </c>
      <c r="B136" s="4">
        <v>45947</v>
      </c>
      <c r="C136" t="s">
        <v>89</v>
      </c>
      <c r="D136" t="s">
        <v>101</v>
      </c>
      <c r="E136">
        <v>171.9</v>
      </c>
      <c r="F136" s="5">
        <v>0.184</v>
      </c>
      <c r="G136" t="s">
        <v>189</v>
      </c>
      <c r="H136" s="35">
        <f>Table2[[#This Row],[Units_kWh]]*Table2[[#This Row],[Tariff_per_kWh]]</f>
        <v>31.6296</v>
      </c>
    </row>
    <row r="137" spans="1:8">
      <c r="A137" t="s">
        <v>288</v>
      </c>
      <c r="B137" s="4">
        <v>46016</v>
      </c>
      <c r="C137" t="s">
        <v>87</v>
      </c>
      <c r="D137" t="s">
        <v>101</v>
      </c>
      <c r="E137">
        <v>82.9</v>
      </c>
      <c r="F137" s="5">
        <v>0</v>
      </c>
      <c r="G137" t="s">
        <v>102</v>
      </c>
      <c r="H137" s="35">
        <f>Table2[[#This Row],[Units_kWh]]*Table2[[#This Row],[Tariff_per_kWh]]</f>
        <v>0</v>
      </c>
    </row>
    <row r="138" spans="1:8">
      <c r="A138" t="s">
        <v>351</v>
      </c>
      <c r="B138" s="4">
        <v>45950</v>
      </c>
      <c r="C138" t="s">
        <v>87</v>
      </c>
      <c r="D138" t="s">
        <v>101</v>
      </c>
      <c r="E138">
        <v>285.2</v>
      </c>
      <c r="F138" s="5">
        <v>0.17799999999999999</v>
      </c>
      <c r="G138" t="s">
        <v>104</v>
      </c>
      <c r="H138" s="35">
        <f>Table2[[#This Row],[Units_kWh]]*Table2[[#This Row],[Tariff_per_kWh]]</f>
        <v>50.765599999999992</v>
      </c>
    </row>
    <row r="139" spans="1:8">
      <c r="A139" t="s">
        <v>271</v>
      </c>
      <c r="B139" s="4">
        <v>45696</v>
      </c>
      <c r="C139" t="s">
        <v>89</v>
      </c>
      <c r="D139" t="s">
        <v>101</v>
      </c>
      <c r="E139">
        <v>167.8</v>
      </c>
      <c r="F139" s="5">
        <v>0.17799999999999999</v>
      </c>
      <c r="G139" t="s">
        <v>104</v>
      </c>
      <c r="H139" s="35">
        <f>Table2[[#This Row],[Units_kWh]]*Table2[[#This Row],[Tariff_per_kWh]]</f>
        <v>29.868400000000001</v>
      </c>
    </row>
    <row r="140" spans="1:8">
      <c r="A140" t="s">
        <v>115</v>
      </c>
      <c r="B140" s="4">
        <v>46155</v>
      </c>
      <c r="C140" t="s">
        <v>462</v>
      </c>
      <c r="D140" t="s">
        <v>101</v>
      </c>
      <c r="E140">
        <v>424.7</v>
      </c>
      <c r="F140" s="5">
        <v>0.17100000000000001</v>
      </c>
      <c r="G140" t="s">
        <v>104</v>
      </c>
      <c r="H140" s="35">
        <f>Table2[[#This Row],[Units_kWh]]*Table2[[#This Row],[Tariff_per_kWh]]</f>
        <v>72.623699999999999</v>
      </c>
    </row>
    <row r="141" spans="1:8">
      <c r="A141" t="s">
        <v>201</v>
      </c>
      <c r="B141" s="4">
        <v>45896</v>
      </c>
      <c r="C141" t="s">
        <v>92</v>
      </c>
      <c r="D141" t="s">
        <v>101</v>
      </c>
      <c r="E141">
        <v>136</v>
      </c>
      <c r="F141" s="5">
        <v>0.184</v>
      </c>
      <c r="G141" t="s">
        <v>464</v>
      </c>
      <c r="H141" s="35">
        <f>Table2[[#This Row],[Units_kWh]]*Table2[[#This Row],[Tariff_per_kWh]]</f>
        <v>25.024000000000001</v>
      </c>
    </row>
    <row r="142" spans="1:8">
      <c r="A142" t="s">
        <v>240</v>
      </c>
      <c r="B142" s="4">
        <v>45761</v>
      </c>
      <c r="C142" t="s">
        <v>87</v>
      </c>
      <c r="D142" t="s">
        <v>101</v>
      </c>
      <c r="E142">
        <v>372.7</v>
      </c>
      <c r="F142" s="5">
        <v>0.187</v>
      </c>
      <c r="G142" t="s">
        <v>464</v>
      </c>
      <c r="H142" s="35">
        <f>Table2[[#This Row],[Units_kWh]]*Table2[[#This Row],[Tariff_per_kWh]]</f>
        <v>69.694900000000004</v>
      </c>
    </row>
    <row r="143" spans="1:8">
      <c r="A143" t="s">
        <v>219</v>
      </c>
      <c r="B143" s="4">
        <v>45960</v>
      </c>
      <c r="C143" t="s">
        <v>90</v>
      </c>
      <c r="D143" t="s">
        <v>101</v>
      </c>
      <c r="E143">
        <v>318.8</v>
      </c>
      <c r="F143" s="5">
        <v>0.184</v>
      </c>
      <c r="G143" t="s">
        <v>104</v>
      </c>
      <c r="H143" s="35">
        <f>Table2[[#This Row],[Units_kWh]]*Table2[[#This Row],[Tariff_per_kWh]]</f>
        <v>58.659199999999998</v>
      </c>
    </row>
    <row r="144" spans="1:8">
      <c r="A144" t="s">
        <v>301</v>
      </c>
      <c r="B144" s="4">
        <v>45960</v>
      </c>
      <c r="C144" t="s">
        <v>90</v>
      </c>
      <c r="D144" t="s">
        <v>101</v>
      </c>
      <c r="E144">
        <v>318.8</v>
      </c>
      <c r="F144" s="5">
        <v>0.184</v>
      </c>
      <c r="G144" t="s">
        <v>104</v>
      </c>
      <c r="H144" s="35">
        <f>Table2[[#This Row],[Units_kWh]]*Table2[[#This Row],[Tariff_per_kWh]]</f>
        <v>58.659199999999998</v>
      </c>
    </row>
    <row r="145" spans="1:8">
      <c r="A145" t="s">
        <v>338</v>
      </c>
      <c r="B145" s="4">
        <v>46230</v>
      </c>
      <c r="C145" t="s">
        <v>92</v>
      </c>
      <c r="D145" t="s">
        <v>101</v>
      </c>
      <c r="E145">
        <v>168.7</v>
      </c>
      <c r="F145" s="5">
        <v>0.17699999999999999</v>
      </c>
      <c r="G145" t="s">
        <v>102</v>
      </c>
      <c r="H145" s="35">
        <f>Table2[[#This Row],[Units_kWh]]*Table2[[#This Row],[Tariff_per_kWh]]</f>
        <v>29.859899999999996</v>
      </c>
    </row>
    <row r="146" spans="1:8">
      <c r="A146" t="s">
        <v>206</v>
      </c>
      <c r="B146" s="4">
        <v>46230</v>
      </c>
      <c r="C146" t="s">
        <v>92</v>
      </c>
      <c r="D146" t="s">
        <v>101</v>
      </c>
      <c r="E146">
        <v>168.7</v>
      </c>
      <c r="F146" s="5">
        <v>0.17699999999999999</v>
      </c>
      <c r="G146" t="s">
        <v>102</v>
      </c>
      <c r="H146" s="35">
        <f>Table2[[#This Row],[Units_kWh]]*Table2[[#This Row],[Tariff_per_kWh]]</f>
        <v>29.859899999999996</v>
      </c>
    </row>
    <row r="147" spans="1:8">
      <c r="A147" t="s">
        <v>216</v>
      </c>
      <c r="B147" s="4">
        <v>45830</v>
      </c>
      <c r="C147" t="s">
        <v>462</v>
      </c>
      <c r="D147" t="s">
        <v>101</v>
      </c>
      <c r="E147">
        <v>165.7</v>
      </c>
      <c r="F147" s="5">
        <v>0.189</v>
      </c>
      <c r="G147" t="s">
        <v>142</v>
      </c>
      <c r="H147" s="35">
        <f>Table2[[#This Row],[Units_kWh]]*Table2[[#This Row],[Tariff_per_kWh]]</f>
        <v>31.317299999999999</v>
      </c>
    </row>
    <row r="148" spans="1:8">
      <c r="A148" t="s">
        <v>339</v>
      </c>
      <c r="B148" s="4">
        <v>45964</v>
      </c>
      <c r="C148" t="s">
        <v>92</v>
      </c>
      <c r="D148" t="s">
        <v>101</v>
      </c>
      <c r="E148">
        <v>306.89999999999998</v>
      </c>
      <c r="F148" s="5">
        <v>0.189</v>
      </c>
      <c r="G148" t="s">
        <v>142</v>
      </c>
      <c r="H148" s="35">
        <f>Table2[[#This Row],[Units_kWh]]*Table2[[#This Row],[Tariff_per_kWh]]</f>
        <v>58.004099999999994</v>
      </c>
    </row>
    <row r="149" spans="1:8">
      <c r="A149" t="s">
        <v>179</v>
      </c>
      <c r="B149" s="4">
        <v>45843</v>
      </c>
      <c r="C149" t="s">
        <v>92</v>
      </c>
      <c r="D149" t="s">
        <v>101</v>
      </c>
      <c r="E149">
        <v>104.5</v>
      </c>
      <c r="F149" s="5">
        <v>0.187</v>
      </c>
      <c r="G149" t="s">
        <v>104</v>
      </c>
      <c r="H149" s="35">
        <f>Table2[[#This Row],[Units_kWh]]*Table2[[#This Row],[Tariff_per_kWh]]</f>
        <v>19.541499999999999</v>
      </c>
    </row>
    <row r="150" spans="1:8">
      <c r="A150" t="s">
        <v>158</v>
      </c>
      <c r="B150" s="4">
        <v>46128</v>
      </c>
      <c r="C150" t="s">
        <v>92</v>
      </c>
      <c r="D150" t="s">
        <v>101</v>
      </c>
      <c r="E150">
        <v>430.4</v>
      </c>
      <c r="F150" s="5">
        <v>0.18</v>
      </c>
      <c r="G150" t="s">
        <v>104</v>
      </c>
      <c r="H150" s="35">
        <f>Table2[[#This Row],[Units_kWh]]*Table2[[#This Row],[Tariff_per_kWh]]</f>
        <v>77.471999999999994</v>
      </c>
    </row>
    <row r="151" spans="1:8">
      <c r="A151" t="s">
        <v>226</v>
      </c>
      <c r="B151" s="4">
        <v>46128</v>
      </c>
      <c r="C151" t="s">
        <v>92</v>
      </c>
      <c r="D151" t="s">
        <v>101</v>
      </c>
      <c r="E151">
        <v>430.4</v>
      </c>
      <c r="F151" s="5">
        <v>0.18</v>
      </c>
      <c r="G151" t="s">
        <v>104</v>
      </c>
      <c r="H151" s="35">
        <f>Table2[[#This Row],[Units_kWh]]*Table2[[#This Row],[Tariff_per_kWh]]</f>
        <v>77.471999999999994</v>
      </c>
    </row>
    <row r="152" spans="1:8">
      <c r="A152" t="s">
        <v>152</v>
      </c>
      <c r="B152" s="4">
        <v>45919</v>
      </c>
      <c r="C152" t="s">
        <v>90</v>
      </c>
      <c r="D152" t="s">
        <v>101</v>
      </c>
      <c r="E152">
        <v>407.1</v>
      </c>
      <c r="F152" s="5">
        <v>0.184</v>
      </c>
      <c r="G152" t="s">
        <v>102</v>
      </c>
      <c r="H152" s="35">
        <f>Table2[[#This Row],[Units_kWh]]*Table2[[#This Row],[Tariff_per_kWh]]</f>
        <v>74.906400000000005</v>
      </c>
    </row>
    <row r="153" spans="1:8">
      <c r="A153" t="s">
        <v>283</v>
      </c>
      <c r="B153" s="4">
        <v>45693</v>
      </c>
      <c r="C153" t="s">
        <v>87</v>
      </c>
      <c r="D153" t="s">
        <v>101</v>
      </c>
      <c r="E153">
        <v>484.9</v>
      </c>
      <c r="F153" s="5">
        <v>0.188</v>
      </c>
      <c r="G153" t="s">
        <v>104</v>
      </c>
      <c r="H153" s="35">
        <f>Table2[[#This Row],[Units_kWh]]*Table2[[#This Row],[Tariff_per_kWh]]</f>
        <v>91.161199999999994</v>
      </c>
    </row>
    <row r="154" spans="1:8">
      <c r="A154" t="s">
        <v>330</v>
      </c>
      <c r="B154" s="4">
        <v>45676</v>
      </c>
      <c r="C154" t="s">
        <v>92</v>
      </c>
      <c r="D154" t="s">
        <v>101</v>
      </c>
      <c r="E154">
        <v>523.5</v>
      </c>
      <c r="F154" s="5">
        <v>0.17899999999999999</v>
      </c>
      <c r="G154" t="s">
        <v>102</v>
      </c>
      <c r="H154" s="35">
        <f>Table2[[#This Row],[Units_kWh]]*Table2[[#This Row],[Tariff_per_kWh]]</f>
        <v>93.706499999999991</v>
      </c>
    </row>
    <row r="155" spans="1:8">
      <c r="A155" t="s">
        <v>367</v>
      </c>
      <c r="B155" s="4">
        <v>46131</v>
      </c>
      <c r="C155" t="s">
        <v>87</v>
      </c>
      <c r="D155" t="s">
        <v>101</v>
      </c>
      <c r="E155">
        <v>245.6</v>
      </c>
      <c r="F155" s="5">
        <v>0.183</v>
      </c>
      <c r="G155" t="s">
        <v>142</v>
      </c>
      <c r="H155" s="35">
        <f>Table2[[#This Row],[Units_kWh]]*Table2[[#This Row],[Tariff_per_kWh]]</f>
        <v>44.944800000000001</v>
      </c>
    </row>
    <row r="156" spans="1:8">
      <c r="A156" t="s">
        <v>305</v>
      </c>
      <c r="B156" s="4">
        <v>45871</v>
      </c>
      <c r="C156" t="s">
        <v>87</v>
      </c>
      <c r="D156" t="s">
        <v>101</v>
      </c>
      <c r="E156">
        <v>457</v>
      </c>
      <c r="F156" s="5">
        <v>0.17699999999999999</v>
      </c>
      <c r="G156" t="s">
        <v>142</v>
      </c>
      <c r="H156" s="35">
        <f>Table2[[#This Row],[Units_kWh]]*Table2[[#This Row],[Tariff_per_kWh]]</f>
        <v>80.888999999999996</v>
      </c>
    </row>
    <row r="157" spans="1:8">
      <c r="A157" t="s">
        <v>264</v>
      </c>
      <c r="B157" s="4">
        <v>45687</v>
      </c>
      <c r="C157" t="s">
        <v>87</v>
      </c>
      <c r="D157" t="s">
        <v>101</v>
      </c>
      <c r="E157">
        <v>0</v>
      </c>
      <c r="F157" s="5">
        <v>0.17899999999999999</v>
      </c>
      <c r="G157" t="s">
        <v>104</v>
      </c>
      <c r="H157" s="35">
        <f>Table2[[#This Row],[Units_kWh]]*Table2[[#This Row],[Tariff_per_kWh]]</f>
        <v>0</v>
      </c>
    </row>
    <row r="158" spans="1:8">
      <c r="A158" t="s">
        <v>269</v>
      </c>
      <c r="B158" s="4">
        <v>46027</v>
      </c>
      <c r="C158" t="s">
        <v>89</v>
      </c>
      <c r="D158" t="s">
        <v>101</v>
      </c>
      <c r="E158">
        <v>141.4</v>
      </c>
      <c r="F158" s="5">
        <v>0.186</v>
      </c>
      <c r="G158" t="s">
        <v>104</v>
      </c>
      <c r="H158" s="35">
        <f>Table2[[#This Row],[Units_kWh]]*Table2[[#This Row],[Tariff_per_kWh]]</f>
        <v>26.3004</v>
      </c>
    </row>
    <row r="159" spans="1:8">
      <c r="A159" t="s">
        <v>406</v>
      </c>
      <c r="B159" s="4">
        <v>45899</v>
      </c>
      <c r="C159" t="s">
        <v>87</v>
      </c>
      <c r="D159" t="s">
        <v>101</v>
      </c>
      <c r="E159">
        <v>373.9</v>
      </c>
      <c r="F159" s="5">
        <v>0.183</v>
      </c>
      <c r="G159" t="s">
        <v>464</v>
      </c>
      <c r="H159" s="35">
        <f>Table2[[#This Row],[Units_kWh]]*Table2[[#This Row],[Tariff_per_kWh]]</f>
        <v>68.423699999999997</v>
      </c>
    </row>
    <row r="160" spans="1:8">
      <c r="A160" t="s">
        <v>364</v>
      </c>
      <c r="B160" s="4">
        <v>45978</v>
      </c>
      <c r="C160" t="s">
        <v>91</v>
      </c>
      <c r="D160" t="s">
        <v>101</v>
      </c>
      <c r="E160">
        <v>96.7</v>
      </c>
      <c r="F160" s="5">
        <v>0.183</v>
      </c>
      <c r="G160" t="s">
        <v>102</v>
      </c>
      <c r="H160" s="35">
        <f>Table2[[#This Row],[Units_kWh]]*Table2[[#This Row],[Tariff_per_kWh]]</f>
        <v>17.696100000000001</v>
      </c>
    </row>
    <row r="161" spans="1:8">
      <c r="A161" t="s">
        <v>279</v>
      </c>
      <c r="B161" s="4">
        <v>45935</v>
      </c>
      <c r="C161" t="s">
        <v>87</v>
      </c>
      <c r="D161" t="s">
        <v>101</v>
      </c>
      <c r="E161">
        <v>447.4</v>
      </c>
      <c r="F161" s="5">
        <v>0.18</v>
      </c>
      <c r="G161" t="s">
        <v>104</v>
      </c>
      <c r="H161" s="35">
        <f>Table2[[#This Row],[Units_kWh]]*Table2[[#This Row],[Tariff_per_kWh]]</f>
        <v>80.531999999999996</v>
      </c>
    </row>
    <row r="162" spans="1:8">
      <c r="A162" t="s">
        <v>129</v>
      </c>
      <c r="B162" s="4">
        <v>46045</v>
      </c>
      <c r="C162" t="s">
        <v>88</v>
      </c>
      <c r="D162" t="s">
        <v>101</v>
      </c>
      <c r="E162">
        <v>380.2</v>
      </c>
      <c r="F162" s="5">
        <v>0.18099999999999999</v>
      </c>
      <c r="G162" t="s">
        <v>104</v>
      </c>
      <c r="H162" s="35">
        <f>Table2[[#This Row],[Units_kWh]]*Table2[[#This Row],[Tariff_per_kWh]]</f>
        <v>68.816199999999995</v>
      </c>
    </row>
    <row r="163" spans="1:8">
      <c r="A163" t="s">
        <v>289</v>
      </c>
      <c r="B163" s="4">
        <v>45748</v>
      </c>
      <c r="C163" t="s">
        <v>88</v>
      </c>
      <c r="D163" t="s">
        <v>101</v>
      </c>
      <c r="E163">
        <v>459</v>
      </c>
      <c r="F163" s="5">
        <v>0.17100000000000001</v>
      </c>
      <c r="G163" t="s">
        <v>104</v>
      </c>
      <c r="H163" s="35">
        <f>Table2[[#This Row],[Units_kWh]]*Table2[[#This Row],[Tariff_per_kWh]]</f>
        <v>78.489000000000004</v>
      </c>
    </row>
    <row r="164" spans="1:8">
      <c r="A164" t="s">
        <v>132</v>
      </c>
      <c r="B164" s="4">
        <v>45774</v>
      </c>
      <c r="C164" t="s">
        <v>89</v>
      </c>
      <c r="D164" t="s">
        <v>101</v>
      </c>
      <c r="E164">
        <v>145.19999999999999</v>
      </c>
      <c r="F164" s="5">
        <v>0.184</v>
      </c>
      <c r="G164" t="s">
        <v>104</v>
      </c>
      <c r="H164" s="35">
        <f>Table2[[#This Row],[Units_kWh]]*Table2[[#This Row],[Tariff_per_kWh]]</f>
        <v>26.716799999999999</v>
      </c>
    </row>
    <row r="165" spans="1:8">
      <c r="A165" t="s">
        <v>359</v>
      </c>
      <c r="B165" s="4">
        <v>45943</v>
      </c>
      <c r="C165" t="s">
        <v>92</v>
      </c>
      <c r="D165" t="s">
        <v>101</v>
      </c>
      <c r="E165">
        <v>458.8</v>
      </c>
      <c r="F165" s="5">
        <v>0.17199999999999999</v>
      </c>
      <c r="G165" t="s">
        <v>104</v>
      </c>
      <c r="H165" s="35">
        <f>Table2[[#This Row],[Units_kWh]]*Table2[[#This Row],[Tariff_per_kWh]]</f>
        <v>78.913600000000002</v>
      </c>
    </row>
    <row r="166" spans="1:8">
      <c r="A166" t="s">
        <v>127</v>
      </c>
      <c r="B166" s="4">
        <v>45759</v>
      </c>
      <c r="C166" t="s">
        <v>92</v>
      </c>
      <c r="D166" t="s">
        <v>101</v>
      </c>
      <c r="E166">
        <v>608.29999999999995</v>
      </c>
      <c r="F166" s="5">
        <v>0</v>
      </c>
      <c r="G166" t="s">
        <v>142</v>
      </c>
      <c r="H166" s="35">
        <f>Table2[[#This Row],[Units_kWh]]*Table2[[#This Row],[Tariff_per_kWh]]</f>
        <v>0</v>
      </c>
    </row>
    <row r="167" spans="1:8">
      <c r="A167" t="s">
        <v>285</v>
      </c>
      <c r="B167" s="4">
        <v>45760</v>
      </c>
      <c r="C167" t="s">
        <v>92</v>
      </c>
      <c r="D167" t="s">
        <v>101</v>
      </c>
      <c r="E167">
        <v>282.10000000000002</v>
      </c>
      <c r="F167" s="5">
        <v>0.183</v>
      </c>
      <c r="G167" t="s">
        <v>102</v>
      </c>
      <c r="H167" s="35">
        <f>Table2[[#This Row],[Units_kWh]]*Table2[[#This Row],[Tariff_per_kWh]]</f>
        <v>51.624300000000005</v>
      </c>
    </row>
    <row r="168" spans="1:8">
      <c r="A168" t="s">
        <v>307</v>
      </c>
      <c r="B168" s="4">
        <v>45958</v>
      </c>
      <c r="C168" t="s">
        <v>87</v>
      </c>
      <c r="D168" t="s">
        <v>101</v>
      </c>
      <c r="E168">
        <v>548</v>
      </c>
      <c r="F168" s="5">
        <v>0.18099999999999999</v>
      </c>
      <c r="G168" t="s">
        <v>104</v>
      </c>
      <c r="H168" s="35">
        <f>Table2[[#This Row],[Units_kWh]]*Table2[[#This Row],[Tariff_per_kWh]]</f>
        <v>99.188000000000002</v>
      </c>
    </row>
    <row r="169" spans="1:8">
      <c r="A169" t="s">
        <v>124</v>
      </c>
      <c r="B169" s="4">
        <v>46124</v>
      </c>
      <c r="C169" t="s">
        <v>88</v>
      </c>
      <c r="D169" t="s">
        <v>101</v>
      </c>
      <c r="E169">
        <v>598.5</v>
      </c>
      <c r="F169" s="5">
        <v>0.183</v>
      </c>
      <c r="G169" t="s">
        <v>104</v>
      </c>
      <c r="H169" s="35">
        <f>Table2[[#This Row],[Units_kWh]]*Table2[[#This Row],[Tariff_per_kWh]]</f>
        <v>109.52549999999999</v>
      </c>
    </row>
    <row r="170" spans="1:8">
      <c r="A170" t="s">
        <v>156</v>
      </c>
      <c r="B170" s="4">
        <v>45801</v>
      </c>
      <c r="C170" t="s">
        <v>462</v>
      </c>
      <c r="D170" t="s">
        <v>101</v>
      </c>
      <c r="E170">
        <v>396.9</v>
      </c>
      <c r="F170" s="5">
        <v>0.184</v>
      </c>
      <c r="G170" t="s">
        <v>102</v>
      </c>
      <c r="H170" s="35">
        <f>Table2[[#This Row],[Units_kWh]]*Table2[[#This Row],[Tariff_per_kWh]]</f>
        <v>73.029599999999988</v>
      </c>
    </row>
    <row r="171" spans="1:8">
      <c r="A171" t="s">
        <v>185</v>
      </c>
      <c r="B171" s="4">
        <v>45911</v>
      </c>
      <c r="C171" t="s">
        <v>89</v>
      </c>
      <c r="D171" t="s">
        <v>101</v>
      </c>
      <c r="E171">
        <v>425.8</v>
      </c>
      <c r="F171" s="5">
        <v>0.184</v>
      </c>
      <c r="G171" t="s">
        <v>102</v>
      </c>
      <c r="H171" s="35">
        <f>Table2[[#This Row],[Units_kWh]]*Table2[[#This Row],[Tariff_per_kWh]]</f>
        <v>78.347200000000001</v>
      </c>
    </row>
    <row r="172" spans="1:8">
      <c r="A172" t="s">
        <v>280</v>
      </c>
      <c r="B172" s="4">
        <v>45675</v>
      </c>
      <c r="C172" t="s">
        <v>462</v>
      </c>
      <c r="D172" t="s">
        <v>101</v>
      </c>
      <c r="E172">
        <v>167.2</v>
      </c>
      <c r="F172" s="5">
        <v>0.186</v>
      </c>
      <c r="G172" t="s">
        <v>104</v>
      </c>
      <c r="H172" s="35">
        <f>Table2[[#This Row],[Units_kWh]]*Table2[[#This Row],[Tariff_per_kWh]]</f>
        <v>31.099199999999996</v>
      </c>
    </row>
    <row r="173" spans="1:8">
      <c r="A173" t="s">
        <v>299</v>
      </c>
      <c r="B173" s="4">
        <v>45734</v>
      </c>
      <c r="C173" t="s">
        <v>91</v>
      </c>
      <c r="D173" t="s">
        <v>101</v>
      </c>
      <c r="E173">
        <v>326</v>
      </c>
      <c r="F173" s="5">
        <v>0.17499999999999999</v>
      </c>
      <c r="G173" t="s">
        <v>104</v>
      </c>
      <c r="H173" s="35">
        <f>Table2[[#This Row],[Units_kWh]]*Table2[[#This Row],[Tariff_per_kWh]]</f>
        <v>57.05</v>
      </c>
    </row>
    <row r="174" spans="1:8">
      <c r="A174" t="s">
        <v>312</v>
      </c>
      <c r="B174" s="4">
        <v>46058</v>
      </c>
      <c r="C174" t="s">
        <v>89</v>
      </c>
      <c r="D174" t="s">
        <v>101</v>
      </c>
      <c r="E174">
        <v>186.9</v>
      </c>
      <c r="F174" s="5">
        <v>0.183</v>
      </c>
      <c r="G174" t="s">
        <v>104</v>
      </c>
      <c r="H174" s="35">
        <f>Table2[[#This Row],[Units_kWh]]*Table2[[#This Row],[Tariff_per_kWh]]</f>
        <v>34.2027</v>
      </c>
    </row>
    <row r="175" spans="1:8">
      <c r="A175" t="s">
        <v>220</v>
      </c>
      <c r="B175" s="4">
        <v>46058</v>
      </c>
      <c r="C175" t="s">
        <v>89</v>
      </c>
      <c r="D175" t="s">
        <v>101</v>
      </c>
      <c r="E175">
        <v>186.9</v>
      </c>
      <c r="F175" s="5">
        <v>0.183</v>
      </c>
      <c r="G175" t="s">
        <v>104</v>
      </c>
      <c r="H175" s="35">
        <f>Table2[[#This Row],[Units_kWh]]*Table2[[#This Row],[Tariff_per_kWh]]</f>
        <v>34.2027</v>
      </c>
    </row>
    <row r="176" spans="1:8">
      <c r="A176" t="s">
        <v>235</v>
      </c>
      <c r="B176" s="4">
        <v>45901</v>
      </c>
      <c r="C176" t="s">
        <v>88</v>
      </c>
      <c r="D176" t="s">
        <v>101</v>
      </c>
      <c r="E176">
        <v>181.1</v>
      </c>
      <c r="F176" s="5">
        <v>0.17599999999999999</v>
      </c>
      <c r="G176" t="s">
        <v>104</v>
      </c>
      <c r="H176" s="35">
        <f>Table2[[#This Row],[Units_kWh]]*Table2[[#This Row],[Tariff_per_kWh]]</f>
        <v>31.873599999999996</v>
      </c>
    </row>
    <row r="177" spans="1:8">
      <c r="A177" t="s">
        <v>204</v>
      </c>
      <c r="B177" s="4">
        <v>45777</v>
      </c>
      <c r="C177" t="s">
        <v>87</v>
      </c>
      <c r="D177" t="s">
        <v>101</v>
      </c>
      <c r="E177">
        <v>0</v>
      </c>
      <c r="F177" s="5">
        <v>0.18</v>
      </c>
      <c r="G177" t="s">
        <v>104</v>
      </c>
      <c r="H177" s="35">
        <f>Table2[[#This Row],[Units_kWh]]*Table2[[#This Row],[Tariff_per_kWh]]</f>
        <v>0</v>
      </c>
    </row>
    <row r="178" spans="1:8">
      <c r="A178" t="s">
        <v>242</v>
      </c>
      <c r="B178" s="4">
        <v>46144</v>
      </c>
      <c r="C178" t="s">
        <v>89</v>
      </c>
      <c r="D178" t="s">
        <v>101</v>
      </c>
      <c r="E178">
        <v>636.20000000000005</v>
      </c>
      <c r="F178" s="5">
        <v>0.183</v>
      </c>
      <c r="G178" t="s">
        <v>104</v>
      </c>
      <c r="H178" s="35">
        <f>Table2[[#This Row],[Units_kWh]]*Table2[[#This Row],[Tariff_per_kWh]]</f>
        <v>116.42460000000001</v>
      </c>
    </row>
    <row r="179" spans="1:8">
      <c r="A179" t="s">
        <v>120</v>
      </c>
      <c r="B179" s="4">
        <v>46015</v>
      </c>
      <c r="C179" t="s">
        <v>91</v>
      </c>
      <c r="D179" t="s">
        <v>101</v>
      </c>
      <c r="E179">
        <v>566.79999999999995</v>
      </c>
      <c r="F179" s="5">
        <v>0.187</v>
      </c>
      <c r="G179" t="s">
        <v>104</v>
      </c>
      <c r="H179" s="35">
        <f>Table2[[#This Row],[Units_kWh]]*Table2[[#This Row],[Tariff_per_kWh]]</f>
        <v>105.99159999999999</v>
      </c>
    </row>
    <row r="180" spans="1:8">
      <c r="A180" t="s">
        <v>249</v>
      </c>
      <c r="B180" s="4">
        <v>46219</v>
      </c>
      <c r="C180" t="s">
        <v>88</v>
      </c>
      <c r="D180" t="s">
        <v>101</v>
      </c>
      <c r="E180">
        <v>387.3</v>
      </c>
      <c r="F180" s="5">
        <v>0.17100000000000001</v>
      </c>
      <c r="G180" t="s">
        <v>142</v>
      </c>
      <c r="H180" s="35">
        <f>Table2[[#This Row],[Units_kWh]]*Table2[[#This Row],[Tariff_per_kWh]]</f>
        <v>66.228300000000004</v>
      </c>
    </row>
    <row r="181" spans="1:8">
      <c r="A181" t="s">
        <v>228</v>
      </c>
      <c r="B181" s="4">
        <v>45898</v>
      </c>
      <c r="C181" t="s">
        <v>87</v>
      </c>
      <c r="D181" t="s">
        <v>101</v>
      </c>
      <c r="E181">
        <v>458.8</v>
      </c>
      <c r="F181" s="5">
        <v>0.17699999999999999</v>
      </c>
      <c r="G181" t="s">
        <v>104</v>
      </c>
      <c r="H181" s="35">
        <f>Table2[[#This Row],[Units_kWh]]*Table2[[#This Row],[Tariff_per_kWh]]</f>
        <v>81.207599999999999</v>
      </c>
    </row>
    <row r="182" spans="1:8">
      <c r="A182" t="s">
        <v>258</v>
      </c>
      <c r="B182" s="4">
        <v>46120</v>
      </c>
      <c r="C182" t="s">
        <v>90</v>
      </c>
      <c r="D182" t="s">
        <v>101</v>
      </c>
      <c r="E182">
        <v>614.70000000000005</v>
      </c>
      <c r="F182" s="5">
        <v>0.17699999999999999</v>
      </c>
      <c r="G182" t="s">
        <v>104</v>
      </c>
      <c r="H182" s="35">
        <f>Table2[[#This Row],[Units_kWh]]*Table2[[#This Row],[Tariff_per_kWh]]</f>
        <v>108.8019</v>
      </c>
    </row>
    <row r="183" spans="1:8">
      <c r="A183" t="s">
        <v>317</v>
      </c>
      <c r="B183" s="4">
        <v>46004</v>
      </c>
      <c r="C183" t="s">
        <v>89</v>
      </c>
      <c r="D183" t="s">
        <v>101</v>
      </c>
      <c r="E183">
        <v>188.2</v>
      </c>
      <c r="F183" s="5">
        <v>0.17799999999999999</v>
      </c>
      <c r="G183" t="s">
        <v>104</v>
      </c>
      <c r="H183" s="35">
        <f>Table2[[#This Row],[Units_kWh]]*Table2[[#This Row],[Tariff_per_kWh]]</f>
        <v>33.499599999999994</v>
      </c>
    </row>
    <row r="184" spans="1:8">
      <c r="A184" t="s">
        <v>358</v>
      </c>
      <c r="B184" s="4">
        <v>45909</v>
      </c>
      <c r="C184" t="s">
        <v>88</v>
      </c>
      <c r="D184" t="s">
        <v>101</v>
      </c>
      <c r="E184">
        <v>560.79999999999995</v>
      </c>
      <c r="F184" s="5">
        <v>0.17499999999999999</v>
      </c>
      <c r="G184" t="s">
        <v>189</v>
      </c>
      <c r="H184" s="35">
        <f>Table2[[#This Row],[Units_kWh]]*Table2[[#This Row],[Tariff_per_kWh]]</f>
        <v>98.139999999999986</v>
      </c>
    </row>
    <row r="185" spans="1:8">
      <c r="A185" t="s">
        <v>165</v>
      </c>
      <c r="B185" s="4">
        <v>46011</v>
      </c>
      <c r="C185" t="s">
        <v>90</v>
      </c>
      <c r="D185" t="s">
        <v>101</v>
      </c>
      <c r="E185">
        <v>311.7</v>
      </c>
      <c r="F185" s="5">
        <v>0.182</v>
      </c>
      <c r="G185" t="s">
        <v>104</v>
      </c>
      <c r="H185" s="35">
        <f>Table2[[#This Row],[Units_kWh]]*Table2[[#This Row],[Tariff_per_kWh]]</f>
        <v>56.729399999999998</v>
      </c>
    </row>
    <row r="186" spans="1:8">
      <c r="A186" t="s">
        <v>217</v>
      </c>
      <c r="B186" s="4">
        <v>45998</v>
      </c>
      <c r="C186" t="s">
        <v>92</v>
      </c>
      <c r="D186" t="s">
        <v>101</v>
      </c>
      <c r="E186">
        <v>184.6</v>
      </c>
      <c r="F186" s="5">
        <v>0.17499999999999999</v>
      </c>
      <c r="G186" t="s">
        <v>104</v>
      </c>
      <c r="H186" s="35">
        <f>Table2[[#This Row],[Units_kWh]]*Table2[[#This Row],[Tariff_per_kWh]]</f>
        <v>32.305</v>
      </c>
    </row>
    <row r="187" spans="1:8">
      <c r="A187" t="s">
        <v>223</v>
      </c>
      <c r="B187" s="4">
        <v>45668</v>
      </c>
      <c r="C187" t="s">
        <v>87</v>
      </c>
      <c r="D187" t="s">
        <v>101</v>
      </c>
      <c r="E187">
        <v>475</v>
      </c>
      <c r="F187" s="5">
        <v>0.17599999999999999</v>
      </c>
      <c r="G187" t="s">
        <v>104</v>
      </c>
      <c r="H187" s="35">
        <f>Table2[[#This Row],[Units_kWh]]*Table2[[#This Row],[Tariff_per_kWh]]</f>
        <v>83.6</v>
      </c>
    </row>
    <row r="188" spans="1:8">
      <c r="A188" t="s">
        <v>250</v>
      </c>
      <c r="B188" s="4">
        <v>45841</v>
      </c>
      <c r="C188" t="s">
        <v>92</v>
      </c>
      <c r="D188" t="s">
        <v>101</v>
      </c>
      <c r="E188">
        <v>189.1</v>
      </c>
      <c r="F188" s="5">
        <v>0.184</v>
      </c>
      <c r="G188" t="s">
        <v>102</v>
      </c>
      <c r="H188" s="35">
        <f>Table2[[#This Row],[Units_kWh]]*Table2[[#This Row],[Tariff_per_kWh]]</f>
        <v>34.794399999999996</v>
      </c>
    </row>
    <row r="189" spans="1:8">
      <c r="A189" t="s">
        <v>100</v>
      </c>
      <c r="B189" s="4">
        <v>45998</v>
      </c>
      <c r="C189" t="s">
        <v>90</v>
      </c>
      <c r="D189" t="s">
        <v>101</v>
      </c>
      <c r="E189">
        <v>153.5</v>
      </c>
      <c r="F189" s="5">
        <v>0.17799999999999999</v>
      </c>
      <c r="G189" t="s">
        <v>104</v>
      </c>
      <c r="H189" s="35">
        <f>Table2[[#This Row],[Units_kWh]]*Table2[[#This Row],[Tariff_per_kWh]]</f>
        <v>27.323</v>
      </c>
    </row>
    <row r="190" spans="1:8">
      <c r="A190" t="s">
        <v>200</v>
      </c>
      <c r="B190" s="4">
        <v>45706</v>
      </c>
      <c r="C190" t="s">
        <v>92</v>
      </c>
      <c r="D190" t="s">
        <v>101</v>
      </c>
      <c r="E190">
        <v>434.2</v>
      </c>
      <c r="F190" s="5">
        <v>0.17599999999999999</v>
      </c>
      <c r="G190" t="s">
        <v>102</v>
      </c>
      <c r="H190" s="35">
        <f>Table2[[#This Row],[Units_kWh]]*Table2[[#This Row],[Tariff_per_kWh]]</f>
        <v>76.419199999999989</v>
      </c>
    </row>
    <row r="191" spans="1:8">
      <c r="A191" t="s">
        <v>408</v>
      </c>
      <c r="B191" s="4">
        <v>45799</v>
      </c>
      <c r="C191" t="s">
        <v>90</v>
      </c>
      <c r="D191" t="s">
        <v>101</v>
      </c>
      <c r="E191">
        <v>356.3</v>
      </c>
      <c r="F191" s="5">
        <v>0.188</v>
      </c>
      <c r="G191" t="s">
        <v>102</v>
      </c>
      <c r="H191" s="35">
        <f>Table2[[#This Row],[Units_kWh]]*Table2[[#This Row],[Tariff_per_kWh]]</f>
        <v>66.984400000000008</v>
      </c>
    </row>
    <row r="192" spans="1:8">
      <c r="A192" t="s">
        <v>335</v>
      </c>
      <c r="B192" s="4">
        <v>46085</v>
      </c>
      <c r="C192" t="s">
        <v>91</v>
      </c>
      <c r="D192" t="s">
        <v>101</v>
      </c>
      <c r="E192">
        <v>329.7</v>
      </c>
      <c r="F192" s="5">
        <v>0.17799999999999999</v>
      </c>
      <c r="G192" t="s">
        <v>104</v>
      </c>
      <c r="H192" s="35">
        <f>Table2[[#This Row],[Units_kWh]]*Table2[[#This Row],[Tariff_per_kWh]]</f>
        <v>58.686599999999999</v>
      </c>
    </row>
    <row r="193" spans="1:8">
      <c r="A193" t="s">
        <v>292</v>
      </c>
      <c r="B193" s="4">
        <v>46085</v>
      </c>
      <c r="C193" t="s">
        <v>91</v>
      </c>
      <c r="D193" t="s">
        <v>101</v>
      </c>
      <c r="E193">
        <v>329.7</v>
      </c>
      <c r="F193" s="5">
        <v>0.17799999999999999</v>
      </c>
      <c r="G193" t="s">
        <v>104</v>
      </c>
      <c r="H193" s="35">
        <f>Table2[[#This Row],[Units_kWh]]*Table2[[#This Row],[Tariff_per_kWh]]</f>
        <v>58.686599999999999</v>
      </c>
    </row>
    <row r="194" spans="1:8">
      <c r="A194" t="s">
        <v>103</v>
      </c>
      <c r="B194" s="4">
        <v>46184</v>
      </c>
      <c r="C194" t="s">
        <v>88</v>
      </c>
      <c r="D194" t="s">
        <v>101</v>
      </c>
      <c r="E194">
        <v>570.9</v>
      </c>
      <c r="F194" s="5">
        <v>0.17799999999999999</v>
      </c>
      <c r="G194" t="s">
        <v>142</v>
      </c>
      <c r="H194" s="35">
        <f>Table2[[#This Row],[Units_kWh]]*Table2[[#This Row],[Tariff_per_kWh]]</f>
        <v>101.6202</v>
      </c>
    </row>
    <row r="195" spans="1:8">
      <c r="A195" t="s">
        <v>130</v>
      </c>
      <c r="B195" s="4">
        <v>45978</v>
      </c>
      <c r="C195" t="s">
        <v>88</v>
      </c>
      <c r="D195" t="s">
        <v>101</v>
      </c>
      <c r="E195">
        <v>624.70000000000005</v>
      </c>
      <c r="F195" s="5">
        <v>0.17799999999999999</v>
      </c>
      <c r="G195" t="s">
        <v>102</v>
      </c>
      <c r="H195" s="35">
        <f>Table2[[#This Row],[Units_kWh]]*Table2[[#This Row],[Tariff_per_kWh]]</f>
        <v>111.1966</v>
      </c>
    </row>
    <row r="196" spans="1:8">
      <c r="A196" t="s">
        <v>262</v>
      </c>
      <c r="B196" s="4">
        <v>45873</v>
      </c>
      <c r="C196" t="s">
        <v>87</v>
      </c>
      <c r="D196" t="s">
        <v>101</v>
      </c>
      <c r="E196">
        <v>84.6</v>
      </c>
      <c r="F196" s="5">
        <v>0.17399999999999999</v>
      </c>
      <c r="G196" t="s">
        <v>102</v>
      </c>
      <c r="H196" s="35">
        <f>Table2[[#This Row],[Units_kWh]]*Table2[[#This Row],[Tariff_per_kWh]]</f>
        <v>14.720399999999998</v>
      </c>
    </row>
    <row r="197" spans="1:8">
      <c r="A197" t="s">
        <v>147</v>
      </c>
      <c r="B197" s="4">
        <v>46023</v>
      </c>
      <c r="C197" t="s">
        <v>90</v>
      </c>
      <c r="D197" t="s">
        <v>101</v>
      </c>
      <c r="E197">
        <v>625.5</v>
      </c>
      <c r="F197" s="5">
        <v>0.17599999999999999</v>
      </c>
      <c r="G197" t="s">
        <v>104</v>
      </c>
      <c r="H197" s="35">
        <f>Table2[[#This Row],[Units_kWh]]*Table2[[#This Row],[Tariff_per_kWh]]</f>
        <v>110.08799999999999</v>
      </c>
    </row>
    <row r="198" spans="1:8">
      <c r="A198" t="s">
        <v>306</v>
      </c>
      <c r="B198" s="4">
        <v>46234</v>
      </c>
      <c r="C198" t="s">
        <v>90</v>
      </c>
      <c r="D198" t="s">
        <v>101</v>
      </c>
      <c r="E198">
        <v>337.8</v>
      </c>
      <c r="F198" s="5">
        <v>0.183</v>
      </c>
      <c r="G198" t="s">
        <v>464</v>
      </c>
      <c r="H198" s="35">
        <f>Table2[[#This Row],[Units_kWh]]*Table2[[#This Row],[Tariff_per_kWh]]</f>
        <v>61.817399999999999</v>
      </c>
    </row>
    <row r="199" spans="1:8">
      <c r="A199" t="s">
        <v>238</v>
      </c>
      <c r="B199" s="4">
        <v>46235</v>
      </c>
      <c r="C199" t="s">
        <v>87</v>
      </c>
      <c r="D199" t="s">
        <v>101</v>
      </c>
      <c r="E199">
        <v>476</v>
      </c>
      <c r="F199" s="5">
        <v>0.184</v>
      </c>
      <c r="G199" t="s">
        <v>104</v>
      </c>
      <c r="H199" s="35">
        <f>Table2[[#This Row],[Units_kWh]]*Table2[[#This Row],[Tariff_per_kWh]]</f>
        <v>87.584000000000003</v>
      </c>
    </row>
    <row r="200" spans="1:8">
      <c r="A200" t="s">
        <v>202</v>
      </c>
      <c r="B200" s="4">
        <v>45959</v>
      </c>
      <c r="C200" t="s">
        <v>90</v>
      </c>
      <c r="D200" t="s">
        <v>101</v>
      </c>
      <c r="E200">
        <v>339.4</v>
      </c>
      <c r="F200" s="5">
        <v>0.186</v>
      </c>
      <c r="G200" t="s">
        <v>142</v>
      </c>
      <c r="H200" s="35">
        <f>Table2[[#This Row],[Units_kWh]]*Table2[[#This Row],[Tariff_per_kWh]]</f>
        <v>63.128399999999992</v>
      </c>
    </row>
    <row r="201" spans="1:8">
      <c r="A201" t="s">
        <v>239</v>
      </c>
      <c r="B201" s="4">
        <v>45960</v>
      </c>
      <c r="C201" t="s">
        <v>91</v>
      </c>
      <c r="D201" t="s">
        <v>101</v>
      </c>
      <c r="E201">
        <v>211.5</v>
      </c>
      <c r="F201" s="5">
        <v>0.17499999999999999</v>
      </c>
      <c r="G201" t="s">
        <v>102</v>
      </c>
      <c r="H201" s="35">
        <f>Table2[[#This Row],[Units_kWh]]*Table2[[#This Row],[Tariff_per_kWh]]</f>
        <v>37.012499999999996</v>
      </c>
    </row>
    <row r="202" spans="1:8">
      <c r="A202" t="s">
        <v>221</v>
      </c>
      <c r="B202" s="4">
        <v>46010</v>
      </c>
      <c r="C202" t="s">
        <v>88</v>
      </c>
      <c r="D202" t="s">
        <v>101</v>
      </c>
      <c r="E202">
        <v>153.9</v>
      </c>
      <c r="F202" s="5">
        <v>0.184</v>
      </c>
      <c r="G202" t="s">
        <v>104</v>
      </c>
      <c r="H202" s="35">
        <f>Table2[[#This Row],[Units_kWh]]*Table2[[#This Row],[Tariff_per_kWh]]</f>
        <v>28.317600000000002</v>
      </c>
    </row>
    <row r="203" spans="1:8">
      <c r="A203" t="s">
        <v>243</v>
      </c>
      <c r="B203" s="4">
        <v>45924</v>
      </c>
      <c r="C203" t="s">
        <v>462</v>
      </c>
      <c r="D203" t="s">
        <v>101</v>
      </c>
      <c r="E203">
        <v>217.6</v>
      </c>
      <c r="F203" s="5">
        <v>0.17799999999999999</v>
      </c>
      <c r="G203" t="s">
        <v>104</v>
      </c>
      <c r="H203" s="35">
        <f>Table2[[#This Row],[Units_kWh]]*Table2[[#This Row],[Tariff_per_kWh]]</f>
        <v>38.732799999999997</v>
      </c>
    </row>
    <row r="204" spans="1:8">
      <c r="A204" t="s">
        <v>293</v>
      </c>
      <c r="B204" s="4">
        <v>45945</v>
      </c>
      <c r="C204" t="s">
        <v>88</v>
      </c>
      <c r="D204" t="s">
        <v>101</v>
      </c>
      <c r="E204">
        <v>540.5</v>
      </c>
      <c r="F204" s="5">
        <v>0.17599999999999999</v>
      </c>
      <c r="G204" t="s">
        <v>102</v>
      </c>
      <c r="H204" s="35">
        <f>Table2[[#This Row],[Units_kWh]]*Table2[[#This Row],[Tariff_per_kWh]]</f>
        <v>95.128</v>
      </c>
    </row>
    <row r="205" spans="1:8">
      <c r="A205" t="s">
        <v>369</v>
      </c>
      <c r="B205" s="4">
        <v>45946</v>
      </c>
      <c r="C205" t="s">
        <v>87</v>
      </c>
      <c r="D205" t="s">
        <v>101</v>
      </c>
      <c r="E205">
        <v>349.4</v>
      </c>
      <c r="F205" s="5">
        <v>0.182</v>
      </c>
      <c r="G205" t="s">
        <v>104</v>
      </c>
      <c r="H205" s="35">
        <f>Table2[[#This Row],[Units_kWh]]*Table2[[#This Row],[Tariff_per_kWh]]</f>
        <v>63.590799999999994</v>
      </c>
    </row>
    <row r="206" spans="1:8">
      <c r="A206" t="s">
        <v>265</v>
      </c>
      <c r="B206" s="4">
        <v>45947</v>
      </c>
      <c r="C206" t="s">
        <v>89</v>
      </c>
      <c r="D206" t="s">
        <v>101</v>
      </c>
      <c r="E206">
        <v>212.1</v>
      </c>
      <c r="F206" s="5">
        <v>0.189</v>
      </c>
      <c r="G206" t="s">
        <v>104</v>
      </c>
      <c r="H206" s="35">
        <f>Table2[[#This Row],[Units_kWh]]*Table2[[#This Row],[Tariff_per_kWh]]</f>
        <v>40.0869</v>
      </c>
    </row>
    <row r="207" spans="1:8">
      <c r="A207" t="s">
        <v>191</v>
      </c>
      <c r="B207" s="4">
        <v>45873</v>
      </c>
      <c r="C207" t="s">
        <v>89</v>
      </c>
      <c r="D207" t="s">
        <v>101</v>
      </c>
      <c r="E207">
        <v>273.3</v>
      </c>
      <c r="F207" s="5">
        <v>0.17599999999999999</v>
      </c>
      <c r="G207" t="s">
        <v>464</v>
      </c>
      <c r="H207" s="35">
        <f>Table2[[#This Row],[Units_kWh]]*Table2[[#This Row],[Tariff_per_kWh]]</f>
        <v>48.1008</v>
      </c>
    </row>
    <row r="208" spans="1:8">
      <c r="A208" t="s">
        <v>126</v>
      </c>
      <c r="B208" s="4">
        <v>45874</v>
      </c>
      <c r="C208" t="s">
        <v>92</v>
      </c>
      <c r="D208" t="s">
        <v>101</v>
      </c>
      <c r="E208">
        <v>427.8</v>
      </c>
      <c r="F208" s="5">
        <v>0.17100000000000001</v>
      </c>
      <c r="G208" t="s">
        <v>104</v>
      </c>
      <c r="H208" s="35">
        <f>Table2[[#This Row],[Units_kWh]]*Table2[[#This Row],[Tariff_per_kWh]]</f>
        <v>73.153800000000004</v>
      </c>
    </row>
    <row r="209" spans="1:8">
      <c r="A209" t="s">
        <v>128</v>
      </c>
      <c r="B209" s="4">
        <v>46209</v>
      </c>
      <c r="C209" t="s">
        <v>91</v>
      </c>
      <c r="D209" t="s">
        <v>101</v>
      </c>
      <c r="E209">
        <v>465.1</v>
      </c>
      <c r="F209" s="5">
        <v>0.17499999999999999</v>
      </c>
      <c r="G209" t="s">
        <v>104</v>
      </c>
      <c r="H209" s="35">
        <f>Table2[[#This Row],[Units_kWh]]*Table2[[#This Row],[Tariff_per_kWh]]</f>
        <v>81.392499999999998</v>
      </c>
    </row>
    <row r="210" spans="1:8">
      <c r="A210" t="s">
        <v>182</v>
      </c>
      <c r="B210" s="4">
        <v>45921</v>
      </c>
      <c r="C210" t="s">
        <v>88</v>
      </c>
      <c r="D210" t="s">
        <v>101</v>
      </c>
      <c r="E210">
        <v>606</v>
      </c>
      <c r="F210" s="5">
        <v>0.187</v>
      </c>
      <c r="G210" t="s">
        <v>104</v>
      </c>
      <c r="H210" s="35">
        <f>Table2[[#This Row],[Units_kWh]]*Table2[[#This Row],[Tariff_per_kWh]]</f>
        <v>113.322</v>
      </c>
    </row>
    <row r="211" spans="1:8">
      <c r="A211" t="s">
        <v>291</v>
      </c>
      <c r="B211" s="4">
        <v>45831</v>
      </c>
      <c r="C211" t="s">
        <v>89</v>
      </c>
      <c r="D211" t="s">
        <v>101</v>
      </c>
      <c r="E211">
        <v>493.3</v>
      </c>
      <c r="F211" s="5">
        <v>0.184</v>
      </c>
      <c r="G211" t="s">
        <v>102</v>
      </c>
      <c r="H211" s="35">
        <f>Table2[[#This Row],[Units_kWh]]*Table2[[#This Row],[Tariff_per_kWh]]</f>
        <v>90.767200000000003</v>
      </c>
    </row>
    <row r="212" spans="1:8">
      <c r="A212" t="s">
        <v>111</v>
      </c>
      <c r="B212" s="4">
        <v>46074</v>
      </c>
      <c r="C212" t="s">
        <v>90</v>
      </c>
      <c r="D212" t="s">
        <v>101</v>
      </c>
      <c r="E212">
        <v>643.4</v>
      </c>
      <c r="F212" s="5">
        <v>0.18099999999999999</v>
      </c>
      <c r="G212" t="s">
        <v>104</v>
      </c>
      <c r="H212" s="35">
        <f>Table2[[#This Row],[Units_kWh]]*Table2[[#This Row],[Tariff_per_kWh]]</f>
        <v>116.4554</v>
      </c>
    </row>
    <row r="213" spans="1:8">
      <c r="A213" t="s">
        <v>284</v>
      </c>
      <c r="B213" s="4">
        <v>46075</v>
      </c>
      <c r="C213" t="s">
        <v>87</v>
      </c>
      <c r="D213" t="s">
        <v>101</v>
      </c>
      <c r="E213">
        <v>263.10000000000002</v>
      </c>
      <c r="F213" s="5">
        <v>0.185</v>
      </c>
      <c r="G213" t="s">
        <v>104</v>
      </c>
      <c r="H213" s="35">
        <f>Table2[[#This Row],[Units_kWh]]*Table2[[#This Row],[Tariff_per_kWh]]</f>
        <v>48.673500000000004</v>
      </c>
    </row>
    <row r="214" spans="1:8">
      <c r="A214" t="s">
        <v>336</v>
      </c>
      <c r="B214" s="4">
        <v>46104</v>
      </c>
      <c r="C214" t="s">
        <v>91</v>
      </c>
      <c r="D214" t="s">
        <v>101</v>
      </c>
      <c r="E214">
        <v>297.3</v>
      </c>
      <c r="F214" s="5">
        <v>0.186</v>
      </c>
      <c r="G214" t="s">
        <v>104</v>
      </c>
      <c r="H214" s="35">
        <f>Table2[[#This Row],[Units_kWh]]*Table2[[#This Row],[Tariff_per_kWh]]</f>
        <v>55.297800000000002</v>
      </c>
    </row>
    <row r="215" spans="1:8">
      <c r="A215" t="s">
        <v>332</v>
      </c>
      <c r="B215" s="4">
        <v>45788</v>
      </c>
      <c r="C215" t="s">
        <v>87</v>
      </c>
      <c r="D215" t="s">
        <v>101</v>
      </c>
      <c r="E215">
        <v>326</v>
      </c>
      <c r="F215" s="5">
        <v>0.17100000000000001</v>
      </c>
      <c r="G215" t="s">
        <v>102</v>
      </c>
      <c r="H215" s="35">
        <f>Table2[[#This Row],[Units_kWh]]*Table2[[#This Row],[Tariff_per_kWh]]</f>
        <v>55.746000000000002</v>
      </c>
    </row>
    <row r="216" spans="1:8">
      <c r="A216" t="s">
        <v>255</v>
      </c>
      <c r="B216" s="4">
        <v>45756</v>
      </c>
      <c r="C216" t="s">
        <v>91</v>
      </c>
      <c r="D216" t="s">
        <v>101</v>
      </c>
      <c r="E216">
        <v>0</v>
      </c>
      <c r="F216" s="5">
        <v>0.184</v>
      </c>
      <c r="G216" t="s">
        <v>104</v>
      </c>
      <c r="H216" s="35">
        <f>Table2[[#This Row],[Units_kWh]]*Table2[[#This Row],[Tariff_per_kWh]]</f>
        <v>0</v>
      </c>
    </row>
    <row r="217" spans="1:8">
      <c r="A217" t="s">
        <v>343</v>
      </c>
      <c r="B217" s="4">
        <v>46105</v>
      </c>
      <c r="C217" t="s">
        <v>89</v>
      </c>
      <c r="D217" t="s">
        <v>101</v>
      </c>
      <c r="E217">
        <v>535.29999999999995</v>
      </c>
      <c r="F217" s="5">
        <v>0.17499999999999999</v>
      </c>
      <c r="G217" t="s">
        <v>104</v>
      </c>
      <c r="H217" s="35">
        <f>Table2[[#This Row],[Units_kWh]]*Table2[[#This Row],[Tariff_per_kWh]]</f>
        <v>93.677499999999981</v>
      </c>
    </row>
    <row r="218" spans="1:8">
      <c r="A218" t="s">
        <v>360</v>
      </c>
      <c r="B218" s="4">
        <v>46188</v>
      </c>
      <c r="C218" t="s">
        <v>87</v>
      </c>
      <c r="D218" t="s">
        <v>101</v>
      </c>
      <c r="E218">
        <v>246.5</v>
      </c>
      <c r="F218" s="5">
        <v>0.17399999999999999</v>
      </c>
      <c r="G218" t="s">
        <v>142</v>
      </c>
      <c r="H218" s="35">
        <f>Table2[[#This Row],[Units_kWh]]*Table2[[#This Row],[Tariff_per_kWh]]</f>
        <v>42.890999999999998</v>
      </c>
    </row>
    <row r="219" spans="1:8">
      <c r="A219" t="s">
        <v>309</v>
      </c>
      <c r="B219" s="4">
        <v>45958</v>
      </c>
      <c r="C219" t="s">
        <v>88</v>
      </c>
      <c r="D219" t="s">
        <v>101</v>
      </c>
      <c r="E219">
        <v>600.29999999999995</v>
      </c>
      <c r="F219" s="5">
        <v>0.17799999999999999</v>
      </c>
      <c r="G219" t="s">
        <v>104</v>
      </c>
      <c r="H219" s="35">
        <f>Table2[[#This Row],[Units_kWh]]*Table2[[#This Row],[Tariff_per_kWh]]</f>
        <v>106.85339999999999</v>
      </c>
    </row>
    <row r="220" spans="1:8">
      <c r="A220" t="s">
        <v>383</v>
      </c>
      <c r="B220" s="4">
        <v>46006</v>
      </c>
      <c r="C220" t="s">
        <v>89</v>
      </c>
      <c r="D220" t="s">
        <v>101</v>
      </c>
      <c r="E220">
        <v>98.7</v>
      </c>
      <c r="F220" s="5">
        <v>0.18099999999999999</v>
      </c>
      <c r="G220" t="s">
        <v>102</v>
      </c>
      <c r="H220" s="35">
        <f>Table2[[#This Row],[Units_kWh]]*Table2[[#This Row],[Tariff_per_kWh]]</f>
        <v>17.864699999999999</v>
      </c>
    </row>
    <row r="221" spans="1:8">
      <c r="A221" t="s">
        <v>362</v>
      </c>
      <c r="B221" s="4">
        <v>46009</v>
      </c>
      <c r="C221" t="s">
        <v>87</v>
      </c>
      <c r="D221" t="s">
        <v>101</v>
      </c>
      <c r="E221">
        <v>274.7</v>
      </c>
      <c r="F221" s="5">
        <v>0.17299999999999999</v>
      </c>
      <c r="G221" t="s">
        <v>104</v>
      </c>
      <c r="H221" s="35">
        <f>Table2[[#This Row],[Units_kWh]]*Table2[[#This Row],[Tariff_per_kWh]]</f>
        <v>47.523099999999992</v>
      </c>
    </row>
    <row r="222" spans="1:8">
      <c r="A222" t="s">
        <v>347</v>
      </c>
      <c r="B222" s="4">
        <v>46099</v>
      </c>
      <c r="C222" t="s">
        <v>89</v>
      </c>
      <c r="D222" t="s">
        <v>101</v>
      </c>
      <c r="E222">
        <v>243.9</v>
      </c>
      <c r="F222" s="5">
        <v>0</v>
      </c>
      <c r="G222" t="s">
        <v>104</v>
      </c>
      <c r="H222" s="35">
        <f>Table2[[#This Row],[Units_kWh]]*Table2[[#This Row],[Tariff_per_kWh]]</f>
        <v>0</v>
      </c>
    </row>
    <row r="223" spans="1:8">
      <c r="A223" t="s">
        <v>278</v>
      </c>
      <c r="B223" s="4">
        <v>45718</v>
      </c>
      <c r="C223" t="s">
        <v>90</v>
      </c>
      <c r="D223" t="s">
        <v>101</v>
      </c>
      <c r="E223">
        <v>10022</v>
      </c>
      <c r="F223" s="5">
        <v>0.187</v>
      </c>
      <c r="G223" t="s">
        <v>104</v>
      </c>
      <c r="H223" s="35">
        <f>Table2[[#This Row],[Units_kWh]]*Table2[[#This Row],[Tariff_per_kWh]]</f>
        <v>1874.114</v>
      </c>
    </row>
    <row r="224" spans="1:8">
      <c r="A224" t="s">
        <v>281</v>
      </c>
      <c r="B224" s="4">
        <v>45784</v>
      </c>
      <c r="C224" t="s">
        <v>87</v>
      </c>
      <c r="D224" t="s">
        <v>101</v>
      </c>
      <c r="E224">
        <v>349.7</v>
      </c>
      <c r="F224" s="5">
        <v>0.17799999999999999</v>
      </c>
      <c r="G224" t="s">
        <v>102</v>
      </c>
      <c r="H224" s="35">
        <f>Table2[[#This Row],[Units_kWh]]*Table2[[#This Row],[Tariff_per_kWh]]</f>
        <v>62.246599999999994</v>
      </c>
    </row>
    <row r="225" spans="1:8">
      <c r="A225" t="s">
        <v>205</v>
      </c>
      <c r="B225" s="4">
        <v>45766</v>
      </c>
      <c r="C225" t="s">
        <v>91</v>
      </c>
      <c r="D225" t="s">
        <v>101</v>
      </c>
      <c r="E225">
        <v>183.7</v>
      </c>
      <c r="F225" s="5">
        <v>0.18099999999999999</v>
      </c>
      <c r="G225" t="s">
        <v>102</v>
      </c>
      <c r="H225" s="35">
        <f>Table2[[#This Row],[Units_kWh]]*Table2[[#This Row],[Tariff_per_kWh]]</f>
        <v>33.249699999999997</v>
      </c>
    </row>
    <row r="226" spans="1:8">
      <c r="A226" t="s">
        <v>237</v>
      </c>
      <c r="B226" s="4">
        <v>46143</v>
      </c>
      <c r="C226" t="s">
        <v>89</v>
      </c>
      <c r="D226" t="s">
        <v>101</v>
      </c>
      <c r="E226">
        <v>0</v>
      </c>
      <c r="F226" s="5">
        <v>0.188</v>
      </c>
      <c r="G226" t="s">
        <v>104</v>
      </c>
      <c r="H226" s="35">
        <f>Table2[[#This Row],[Units_kWh]]*Table2[[#This Row],[Tariff_per_kWh]]</f>
        <v>0</v>
      </c>
    </row>
    <row r="227" spans="1:8">
      <c r="A227" t="s">
        <v>157</v>
      </c>
      <c r="B227" s="4">
        <v>45831</v>
      </c>
      <c r="C227" t="s">
        <v>89</v>
      </c>
      <c r="D227" t="s">
        <v>101</v>
      </c>
      <c r="E227">
        <v>374.3</v>
      </c>
      <c r="F227" s="5">
        <v>0.185</v>
      </c>
      <c r="G227" t="s">
        <v>102</v>
      </c>
      <c r="H227" s="35">
        <f>Table2[[#This Row],[Units_kWh]]*Table2[[#This Row],[Tariff_per_kWh]]</f>
        <v>69.245500000000007</v>
      </c>
    </row>
    <row r="228" spans="1:8">
      <c r="A228" t="s">
        <v>409</v>
      </c>
      <c r="B228" s="4">
        <v>46017</v>
      </c>
      <c r="C228" t="s">
        <v>88</v>
      </c>
      <c r="D228" t="s">
        <v>101</v>
      </c>
      <c r="E228">
        <v>163.4</v>
      </c>
      <c r="F228" s="5">
        <v>0.17499999999999999</v>
      </c>
      <c r="G228" t="s">
        <v>102</v>
      </c>
      <c r="H228" s="35">
        <f>Table2[[#This Row],[Units_kWh]]*Table2[[#This Row],[Tariff_per_kWh]]</f>
        <v>28.594999999999999</v>
      </c>
    </row>
    <row r="229" spans="1:8">
      <c r="A229" t="s">
        <v>149</v>
      </c>
      <c r="B229" s="4">
        <v>46144</v>
      </c>
      <c r="C229" t="s">
        <v>89</v>
      </c>
      <c r="D229" t="s">
        <v>101</v>
      </c>
      <c r="E229">
        <v>205</v>
      </c>
      <c r="F229" s="5">
        <v>0.18</v>
      </c>
      <c r="G229" t="s">
        <v>104</v>
      </c>
      <c r="H229" s="35">
        <f>Table2[[#This Row],[Units_kWh]]*Table2[[#This Row],[Tariff_per_kWh]]</f>
        <v>36.9</v>
      </c>
    </row>
    <row r="230" spans="1:8">
      <c r="A230" t="s">
        <v>169</v>
      </c>
      <c r="B230" s="4">
        <v>45823</v>
      </c>
      <c r="C230" t="s">
        <v>89</v>
      </c>
      <c r="D230" t="s">
        <v>101</v>
      </c>
      <c r="E230">
        <v>543.79999999999995</v>
      </c>
      <c r="F230" s="5">
        <v>0.184</v>
      </c>
      <c r="G230" t="s">
        <v>142</v>
      </c>
      <c r="H230" s="35">
        <f>Table2[[#This Row],[Units_kWh]]*Table2[[#This Row],[Tariff_per_kWh]]</f>
        <v>100.05919999999999</v>
      </c>
    </row>
    <row r="231" spans="1:8">
      <c r="A231" t="s">
        <v>151</v>
      </c>
      <c r="B231" s="4">
        <v>45848</v>
      </c>
      <c r="C231" t="s">
        <v>91</v>
      </c>
      <c r="D231" t="s">
        <v>101</v>
      </c>
      <c r="E231">
        <v>625.79999999999995</v>
      </c>
      <c r="F231" s="5">
        <v>0.186</v>
      </c>
      <c r="G231" t="s">
        <v>104</v>
      </c>
      <c r="H231" s="35">
        <f>Table2[[#This Row],[Units_kWh]]*Table2[[#This Row],[Tariff_per_kWh]]</f>
        <v>116.39879999999999</v>
      </c>
    </row>
    <row r="232" spans="1:8">
      <c r="A232" t="s">
        <v>155</v>
      </c>
      <c r="B232" s="4">
        <v>45897</v>
      </c>
      <c r="C232" t="s">
        <v>87</v>
      </c>
      <c r="D232" t="s">
        <v>101</v>
      </c>
      <c r="E232">
        <v>359.6</v>
      </c>
      <c r="F232" s="5">
        <v>0.183</v>
      </c>
      <c r="G232" t="s">
        <v>104</v>
      </c>
      <c r="H232" s="35">
        <f>Table2[[#This Row],[Units_kWh]]*Table2[[#This Row],[Tariff_per_kWh]]</f>
        <v>65.80680000000001</v>
      </c>
    </row>
    <row r="233" spans="1:8">
      <c r="A233" t="s">
        <v>410</v>
      </c>
      <c r="B233" s="4">
        <v>45970</v>
      </c>
      <c r="C233" t="s">
        <v>87</v>
      </c>
      <c r="D233" t="s">
        <v>101</v>
      </c>
      <c r="E233">
        <v>635</v>
      </c>
      <c r="F233" s="5">
        <v>0.17599999999999999</v>
      </c>
      <c r="G233" t="s">
        <v>464</v>
      </c>
      <c r="H233" s="35">
        <f>Table2[[#This Row],[Units_kWh]]*Table2[[#This Row],[Tariff_per_kWh]]</f>
        <v>111.75999999999999</v>
      </c>
    </row>
    <row r="234" spans="1:8">
      <c r="A234" t="s">
        <v>121</v>
      </c>
      <c r="B234" s="4">
        <v>46229</v>
      </c>
      <c r="C234" t="s">
        <v>91</v>
      </c>
      <c r="D234" t="s">
        <v>101</v>
      </c>
      <c r="E234">
        <v>344.5</v>
      </c>
      <c r="F234" s="5">
        <v>0.184</v>
      </c>
      <c r="G234" t="s">
        <v>464</v>
      </c>
      <c r="H234" s="35">
        <f>Table2[[#This Row],[Units_kWh]]*Table2[[#This Row],[Tariff_per_kWh]]</f>
        <v>63.387999999999998</v>
      </c>
    </row>
    <row r="235" spans="1:8">
      <c r="A235" t="s">
        <v>290</v>
      </c>
      <c r="B235" s="4">
        <v>45835</v>
      </c>
      <c r="C235" t="s">
        <v>90</v>
      </c>
      <c r="D235" t="s">
        <v>101</v>
      </c>
      <c r="E235">
        <v>444.8</v>
      </c>
      <c r="F235" s="5">
        <v>0.187</v>
      </c>
      <c r="G235" t="s">
        <v>104</v>
      </c>
      <c r="H235" s="35">
        <f>Table2[[#This Row],[Units_kWh]]*Table2[[#This Row],[Tariff_per_kWh]]</f>
        <v>83.177599999999998</v>
      </c>
    </row>
    <row r="236" spans="1:8">
      <c r="A236" t="s">
        <v>170</v>
      </c>
      <c r="B236" s="4">
        <v>45814</v>
      </c>
      <c r="C236" t="s">
        <v>462</v>
      </c>
      <c r="D236" t="s">
        <v>101</v>
      </c>
      <c r="E236">
        <v>540.79999999999995</v>
      </c>
      <c r="F236" s="5">
        <v>0.182</v>
      </c>
      <c r="G236" t="s">
        <v>104</v>
      </c>
      <c r="H236" s="35">
        <f>Table2[[#This Row],[Units_kWh]]*Table2[[#This Row],[Tariff_per_kWh]]</f>
        <v>98.425599999999989</v>
      </c>
    </row>
    <row r="237" spans="1:8">
      <c r="A237" t="s">
        <v>138</v>
      </c>
      <c r="B237" s="4">
        <v>45815</v>
      </c>
      <c r="C237" t="s">
        <v>88</v>
      </c>
      <c r="D237" t="s">
        <v>101</v>
      </c>
      <c r="E237">
        <v>563.20000000000005</v>
      </c>
      <c r="F237" s="5">
        <v>0</v>
      </c>
      <c r="G237" t="s">
        <v>104</v>
      </c>
      <c r="H237" s="35">
        <f>Table2[[#This Row],[Units_kWh]]*Table2[[#This Row],[Tariff_per_kWh]]</f>
        <v>0</v>
      </c>
    </row>
    <row r="238" spans="1:8">
      <c r="A238" t="s">
        <v>379</v>
      </c>
      <c r="B238" s="4">
        <v>46132</v>
      </c>
      <c r="C238" t="s">
        <v>92</v>
      </c>
      <c r="D238" t="s">
        <v>101</v>
      </c>
      <c r="E238">
        <v>597.29999999999995</v>
      </c>
      <c r="F238" s="5">
        <v>0.17399999999999999</v>
      </c>
      <c r="G238" t="s">
        <v>104</v>
      </c>
      <c r="H238" s="35">
        <f>Table2[[#This Row],[Units_kWh]]*Table2[[#This Row],[Tariff_per_kWh]]</f>
        <v>103.93019999999999</v>
      </c>
    </row>
    <row r="239" spans="1:8">
      <c r="A239" t="s">
        <v>298</v>
      </c>
      <c r="B239" s="4">
        <v>45671</v>
      </c>
      <c r="C239" t="s">
        <v>87</v>
      </c>
      <c r="D239" t="s">
        <v>101</v>
      </c>
      <c r="E239">
        <v>83.4</v>
      </c>
      <c r="F239" s="5">
        <v>0.187</v>
      </c>
      <c r="G239" t="s">
        <v>104</v>
      </c>
      <c r="H239" s="35">
        <f>Table2[[#This Row],[Units_kWh]]*Table2[[#This Row],[Tariff_per_kWh]]</f>
        <v>15.595800000000001</v>
      </c>
    </row>
    <row r="240" spans="1:8">
      <c r="A240" t="s">
        <v>125</v>
      </c>
      <c r="B240" s="4">
        <v>45908</v>
      </c>
      <c r="C240" t="s">
        <v>87</v>
      </c>
      <c r="D240" t="s">
        <v>101</v>
      </c>
      <c r="E240">
        <v>0</v>
      </c>
      <c r="F240" s="5">
        <v>0.188</v>
      </c>
      <c r="G240" t="s">
        <v>104</v>
      </c>
      <c r="H240" s="35">
        <f>Table2[[#This Row],[Units_kWh]]*Table2[[#This Row],[Tariff_per_kWh]]</f>
        <v>0</v>
      </c>
    </row>
    <row r="241" spans="1:8">
      <c r="A241" t="s">
        <v>346</v>
      </c>
      <c r="B241" s="4">
        <v>45950</v>
      </c>
      <c r="C241" t="s">
        <v>87</v>
      </c>
      <c r="D241" t="s">
        <v>101</v>
      </c>
      <c r="E241">
        <v>431.7</v>
      </c>
      <c r="F241" s="5">
        <v>0.18099999999999999</v>
      </c>
      <c r="G241" t="s">
        <v>104</v>
      </c>
      <c r="H241" s="35">
        <f>Table2[[#This Row],[Units_kWh]]*Table2[[#This Row],[Tariff_per_kWh]]</f>
        <v>78.137699999999995</v>
      </c>
    </row>
    <row r="242" spans="1:8">
      <c r="A242" t="s">
        <v>173</v>
      </c>
      <c r="B242" s="4">
        <v>45934</v>
      </c>
      <c r="C242" t="s">
        <v>90</v>
      </c>
      <c r="D242" t="s">
        <v>101</v>
      </c>
      <c r="E242">
        <v>173.2</v>
      </c>
      <c r="F242" s="5">
        <v>0.17100000000000001</v>
      </c>
      <c r="G242" t="s">
        <v>104</v>
      </c>
      <c r="H242" s="35">
        <f>Table2[[#This Row],[Units_kWh]]*Table2[[#This Row],[Tariff_per_kWh]]</f>
        <v>29.6172</v>
      </c>
    </row>
    <row r="243" spans="1:8">
      <c r="A243" t="s">
        <v>183</v>
      </c>
      <c r="B243" s="4">
        <v>45756</v>
      </c>
      <c r="C243" t="s">
        <v>90</v>
      </c>
      <c r="D243" t="s">
        <v>101</v>
      </c>
      <c r="E243">
        <v>81</v>
      </c>
      <c r="F243" s="5">
        <v>0.17499999999999999</v>
      </c>
      <c r="G243" t="s">
        <v>464</v>
      </c>
      <c r="H243" s="35">
        <f>Table2[[#This Row],[Units_kWh]]*Table2[[#This Row],[Tariff_per_kWh]]</f>
        <v>14.174999999999999</v>
      </c>
    </row>
    <row r="244" spans="1:8">
      <c r="A244" t="s">
        <v>139</v>
      </c>
      <c r="B244" s="4">
        <v>45668</v>
      </c>
      <c r="C244" t="s">
        <v>89</v>
      </c>
      <c r="D244" t="s">
        <v>101</v>
      </c>
      <c r="E244">
        <v>257</v>
      </c>
      <c r="F244" s="5">
        <v>0.17199999999999999</v>
      </c>
      <c r="G244" t="s">
        <v>104</v>
      </c>
      <c r="H244" s="35">
        <f>Table2[[#This Row],[Units_kWh]]*Table2[[#This Row],[Tariff_per_kWh]]</f>
        <v>44.203999999999994</v>
      </c>
    </row>
    <row r="245" spans="1:8">
      <c r="A245" t="s">
        <v>368</v>
      </c>
      <c r="B245" s="4">
        <v>45902</v>
      </c>
      <c r="C245" t="s">
        <v>462</v>
      </c>
      <c r="D245" t="s">
        <v>101</v>
      </c>
      <c r="E245">
        <v>100.5</v>
      </c>
      <c r="F245" s="5">
        <v>0.185</v>
      </c>
      <c r="G245" t="s">
        <v>104</v>
      </c>
      <c r="H245" s="35">
        <f>Table2[[#This Row],[Units_kWh]]*Table2[[#This Row],[Tariff_per_kWh]]</f>
        <v>18.592500000000001</v>
      </c>
    </row>
    <row r="246" spans="1:8">
      <c r="A246" t="s">
        <v>354</v>
      </c>
      <c r="B246" s="4">
        <v>45831</v>
      </c>
      <c r="C246" t="s">
        <v>91</v>
      </c>
      <c r="D246" t="s">
        <v>101</v>
      </c>
      <c r="E246">
        <v>231.8</v>
      </c>
      <c r="F246" s="5">
        <v>0.17299999999999999</v>
      </c>
      <c r="G246" t="s">
        <v>104</v>
      </c>
      <c r="H246" s="35">
        <f>Table2[[#This Row],[Units_kWh]]*Table2[[#This Row],[Tariff_per_kWh]]</f>
        <v>40.101399999999998</v>
      </c>
    </row>
    <row r="247" spans="1:8">
      <c r="A247" t="s">
        <v>385</v>
      </c>
      <c r="B247" s="4">
        <v>46011</v>
      </c>
      <c r="C247" t="s">
        <v>87</v>
      </c>
      <c r="D247" t="s">
        <v>101</v>
      </c>
      <c r="E247">
        <v>133.69999999999999</v>
      </c>
      <c r="F247" s="5">
        <v>0.185</v>
      </c>
      <c r="G247" t="s">
        <v>104</v>
      </c>
      <c r="H247" s="35">
        <f>Table2[[#This Row],[Units_kWh]]*Table2[[#This Row],[Tariff_per_kWh]]</f>
        <v>24.734499999999997</v>
      </c>
    </row>
    <row r="248" spans="1:8">
      <c r="A248" t="s">
        <v>294</v>
      </c>
      <c r="B248" s="4">
        <v>45878</v>
      </c>
      <c r="C248" t="s">
        <v>91</v>
      </c>
      <c r="D248" t="s">
        <v>101</v>
      </c>
      <c r="E248">
        <v>640.70000000000005</v>
      </c>
      <c r="F248" s="5">
        <v>0.17100000000000001</v>
      </c>
      <c r="G248" t="s">
        <v>102</v>
      </c>
      <c r="H248" s="35">
        <f>Table2[[#This Row],[Units_kWh]]*Table2[[#This Row],[Tariff_per_kWh]]</f>
        <v>109.55970000000002</v>
      </c>
    </row>
    <row r="249" spans="1:8">
      <c r="A249" t="s">
        <v>148</v>
      </c>
      <c r="B249" s="4">
        <v>45839</v>
      </c>
      <c r="C249" t="s">
        <v>90</v>
      </c>
      <c r="D249" t="s">
        <v>101</v>
      </c>
      <c r="E249">
        <v>510.9</v>
      </c>
      <c r="F249" s="5">
        <v>0.18</v>
      </c>
      <c r="G249" t="s">
        <v>102</v>
      </c>
      <c r="H249" s="35">
        <f>Table2[[#This Row],[Units_kWh]]*Table2[[#This Row],[Tariff_per_kWh]]</f>
        <v>91.961999999999989</v>
      </c>
    </row>
    <row r="250" spans="1:8">
      <c r="A250" t="s">
        <v>361</v>
      </c>
      <c r="B250" s="4">
        <v>46181</v>
      </c>
      <c r="C250" t="s">
        <v>462</v>
      </c>
      <c r="D250" t="s">
        <v>101</v>
      </c>
      <c r="E250">
        <v>528.20000000000005</v>
      </c>
      <c r="F250" s="5">
        <v>0.17399999999999999</v>
      </c>
      <c r="G250" t="s">
        <v>142</v>
      </c>
      <c r="H250" s="35">
        <f>Table2[[#This Row],[Units_kWh]]*Table2[[#This Row],[Tariff_per_kWh]]</f>
        <v>91.906800000000004</v>
      </c>
    </row>
    <row r="251" spans="1:8">
      <c r="A251" t="s">
        <v>143</v>
      </c>
      <c r="B251" s="4">
        <v>45854</v>
      </c>
      <c r="C251" t="s">
        <v>87</v>
      </c>
      <c r="D251" t="s">
        <v>101</v>
      </c>
      <c r="E251">
        <v>126.2</v>
      </c>
      <c r="F251" s="5">
        <v>0.182</v>
      </c>
      <c r="G251" t="s">
        <v>104</v>
      </c>
      <c r="H251" s="35">
        <f>Table2[[#This Row],[Units_kWh]]*Table2[[#This Row],[Tariff_per_kWh]]</f>
        <v>22.968399999999999</v>
      </c>
    </row>
    <row r="252" spans="1:8">
      <c r="A252" t="s">
        <v>316</v>
      </c>
      <c r="B252" s="4">
        <v>45663</v>
      </c>
      <c r="C252" t="s">
        <v>88</v>
      </c>
      <c r="D252" t="s">
        <v>101</v>
      </c>
      <c r="E252">
        <v>597.9</v>
      </c>
      <c r="F252" s="5">
        <v>-10</v>
      </c>
      <c r="G252" t="s">
        <v>104</v>
      </c>
      <c r="H252" s="35">
        <f>Table2[[#This Row],[Units_kWh]]*Table2[[#This Row],[Tariff_per_kWh]]</f>
        <v>-5979</v>
      </c>
    </row>
    <row r="253" spans="1:8">
      <c r="A253" t="s">
        <v>276</v>
      </c>
      <c r="B253" s="4">
        <v>45923</v>
      </c>
      <c r="C253" t="s">
        <v>87</v>
      </c>
      <c r="D253" t="s">
        <v>101</v>
      </c>
      <c r="E253">
        <v>166.7</v>
      </c>
      <c r="F253" s="5">
        <v>0.17199999999999999</v>
      </c>
      <c r="G253" t="s">
        <v>104</v>
      </c>
      <c r="H253" s="35">
        <f>Table2[[#This Row],[Units_kWh]]*Table2[[#This Row],[Tariff_per_kWh]]</f>
        <v>28.672399999999996</v>
      </c>
    </row>
    <row r="254" spans="1:8">
      <c r="A254" t="s">
        <v>190</v>
      </c>
      <c r="B254" s="4">
        <v>46063</v>
      </c>
      <c r="C254" t="s">
        <v>88</v>
      </c>
      <c r="D254" t="s">
        <v>101</v>
      </c>
      <c r="E254">
        <v>322.7</v>
      </c>
      <c r="F254" s="5">
        <v>0.183</v>
      </c>
      <c r="G254" t="s">
        <v>104</v>
      </c>
      <c r="H254" s="35">
        <f>Table2[[#This Row],[Units_kWh]]*Table2[[#This Row],[Tariff_per_kWh]]</f>
        <v>59.054099999999998</v>
      </c>
    </row>
    <row r="255" spans="1:8">
      <c r="A255" t="s">
        <v>145</v>
      </c>
      <c r="B255" s="4">
        <v>45963</v>
      </c>
      <c r="C255" t="s">
        <v>87</v>
      </c>
      <c r="D255" t="s">
        <v>101</v>
      </c>
      <c r="E255">
        <v>579.6</v>
      </c>
      <c r="F255" s="5">
        <v>0.17100000000000001</v>
      </c>
      <c r="G255" t="s">
        <v>102</v>
      </c>
      <c r="H255" s="35">
        <f>Table2[[#This Row],[Units_kWh]]*Table2[[#This Row],[Tariff_per_kWh]]</f>
        <v>99.11160000000001</v>
      </c>
    </row>
    <row r="256" spans="1:8">
      <c r="A256" t="s">
        <v>373</v>
      </c>
      <c r="B256" s="4">
        <v>45899</v>
      </c>
      <c r="C256" t="s">
        <v>89</v>
      </c>
      <c r="D256" t="s">
        <v>101</v>
      </c>
      <c r="E256">
        <v>191.2</v>
      </c>
      <c r="F256" s="5">
        <v>0.17899999999999999</v>
      </c>
      <c r="G256" t="s">
        <v>104</v>
      </c>
      <c r="H256" s="35">
        <f>Table2[[#This Row],[Units_kWh]]*Table2[[#This Row],[Tariff_per_kWh]]</f>
        <v>34.224799999999995</v>
      </c>
    </row>
    <row r="257" spans="1:8">
      <c r="A257" t="s">
        <v>168</v>
      </c>
      <c r="B257" s="4">
        <v>46105</v>
      </c>
      <c r="C257" t="s">
        <v>91</v>
      </c>
      <c r="D257" t="s">
        <v>101</v>
      </c>
      <c r="E257">
        <v>10008</v>
      </c>
      <c r="F257" s="5">
        <v>0.188</v>
      </c>
      <c r="G257" t="s">
        <v>104</v>
      </c>
      <c r="H257" s="35">
        <f>Table2[[#This Row],[Units_kWh]]*Table2[[#This Row],[Tariff_per_kWh]]</f>
        <v>1881.5039999999999</v>
      </c>
    </row>
    <row r="258" spans="1:8">
      <c r="A258" t="s">
        <v>296</v>
      </c>
      <c r="B258" s="4">
        <v>46065</v>
      </c>
      <c r="C258" t="s">
        <v>90</v>
      </c>
      <c r="D258" t="s">
        <v>101</v>
      </c>
      <c r="E258">
        <v>117.1</v>
      </c>
      <c r="F258" s="5">
        <v>0.18099999999999999</v>
      </c>
      <c r="G258" t="s">
        <v>464</v>
      </c>
      <c r="H258" s="35">
        <f>Table2[[#This Row],[Units_kWh]]*Table2[[#This Row],[Tariff_per_kWh]]</f>
        <v>21.1951</v>
      </c>
    </row>
    <row r="259" spans="1:8">
      <c r="A259" t="s">
        <v>414</v>
      </c>
      <c r="B259" s="4">
        <v>46036</v>
      </c>
      <c r="C259" t="s">
        <v>87</v>
      </c>
      <c r="D259" t="s">
        <v>101</v>
      </c>
      <c r="E259">
        <v>176.2</v>
      </c>
      <c r="F259" s="5">
        <v>0.187</v>
      </c>
      <c r="G259" t="s">
        <v>464</v>
      </c>
      <c r="H259" s="35">
        <f>Table2[[#This Row],[Units_kWh]]*Table2[[#This Row],[Tariff_per_kWh]]</f>
        <v>32.949399999999997</v>
      </c>
    </row>
    <row r="260" spans="1:8">
      <c r="A260" t="s">
        <v>232</v>
      </c>
      <c r="B260" s="4">
        <v>45707</v>
      </c>
      <c r="C260" t="s">
        <v>91</v>
      </c>
      <c r="D260" t="s">
        <v>101</v>
      </c>
      <c r="E260">
        <v>112.4</v>
      </c>
      <c r="F260" s="5">
        <v>0</v>
      </c>
      <c r="G260" t="s">
        <v>104</v>
      </c>
      <c r="H260" s="35">
        <f>Table2[[#This Row],[Units_kWh]]*Table2[[#This Row],[Tariff_per_kWh]]</f>
        <v>0</v>
      </c>
    </row>
    <row r="261" spans="1:8">
      <c r="A261" t="s">
        <v>251</v>
      </c>
      <c r="B261" s="4">
        <v>45833</v>
      </c>
      <c r="C261" t="s">
        <v>87</v>
      </c>
      <c r="D261" t="s">
        <v>101</v>
      </c>
      <c r="E261">
        <v>341.3</v>
      </c>
      <c r="F261" s="5">
        <v>0.17899999999999999</v>
      </c>
      <c r="G261" t="s">
        <v>104</v>
      </c>
      <c r="H261" s="35">
        <f>Table2[[#This Row],[Units_kWh]]*Table2[[#This Row],[Tariff_per_kWh]]</f>
        <v>61.092700000000001</v>
      </c>
    </row>
    <row r="262" spans="1:8">
      <c r="A262" t="s">
        <v>318</v>
      </c>
      <c r="B262" s="4">
        <v>45834</v>
      </c>
      <c r="C262" t="s">
        <v>89</v>
      </c>
      <c r="D262" t="s">
        <v>101</v>
      </c>
      <c r="E262">
        <v>361.5</v>
      </c>
      <c r="F262" s="5">
        <v>0.17799999999999999</v>
      </c>
      <c r="G262" t="s">
        <v>464</v>
      </c>
      <c r="H262" s="35">
        <f>Table2[[#This Row],[Units_kWh]]*Table2[[#This Row],[Tariff_per_kWh]]</f>
        <v>64.346999999999994</v>
      </c>
    </row>
    <row r="263" spans="1:8">
      <c r="A263" t="s">
        <v>277</v>
      </c>
      <c r="B263" s="4">
        <v>45890</v>
      </c>
      <c r="C263" t="s">
        <v>93</v>
      </c>
      <c r="D263" t="s">
        <v>101</v>
      </c>
      <c r="E263">
        <v>295.60000000000002</v>
      </c>
      <c r="F263" s="5">
        <v>0.18099999999999999</v>
      </c>
      <c r="G263" t="s">
        <v>104</v>
      </c>
      <c r="H263" s="35">
        <f>Table2[[#This Row],[Units_kWh]]*Table2[[#This Row],[Tariff_per_kWh]]</f>
        <v>53.503600000000006</v>
      </c>
    </row>
    <row r="264" spans="1:8">
      <c r="A264" t="s">
        <v>241</v>
      </c>
      <c r="B264" s="4">
        <v>46007</v>
      </c>
      <c r="C264" t="s">
        <v>87</v>
      </c>
      <c r="D264" t="s">
        <v>101</v>
      </c>
      <c r="E264">
        <v>563.29999999999995</v>
      </c>
      <c r="F264" s="5">
        <v>0.183</v>
      </c>
      <c r="G264" t="s">
        <v>104</v>
      </c>
      <c r="H264" s="35">
        <f>Table2[[#This Row],[Units_kWh]]*Table2[[#This Row],[Tariff_per_kWh]]</f>
        <v>103.08389999999999</v>
      </c>
    </row>
    <row r="265" spans="1:8">
      <c r="A265" t="s">
        <v>313</v>
      </c>
      <c r="B265" s="4">
        <v>46176</v>
      </c>
      <c r="C265" t="s">
        <v>87</v>
      </c>
      <c r="D265" t="s">
        <v>101</v>
      </c>
      <c r="E265">
        <v>268.3</v>
      </c>
      <c r="F265" s="5">
        <v>0.183</v>
      </c>
      <c r="G265" t="s">
        <v>142</v>
      </c>
      <c r="H265" s="35">
        <f>Table2[[#This Row],[Units_kWh]]*Table2[[#This Row],[Tariff_per_kWh]]</f>
        <v>49.0989</v>
      </c>
    </row>
    <row r="266" spans="1:8">
      <c r="A266" t="s">
        <v>213</v>
      </c>
      <c r="B266" s="4">
        <v>46176</v>
      </c>
      <c r="C266" t="s">
        <v>87</v>
      </c>
      <c r="D266" t="s">
        <v>101</v>
      </c>
      <c r="E266">
        <v>268.3</v>
      </c>
      <c r="F266" s="5">
        <v>0.183</v>
      </c>
      <c r="G266" t="s">
        <v>142</v>
      </c>
      <c r="H266" s="35">
        <f>Table2[[#This Row],[Units_kWh]]*Table2[[#This Row],[Tariff_per_kWh]]</f>
        <v>49.0989</v>
      </c>
    </row>
    <row r="267" spans="1:8">
      <c r="A267" t="s">
        <v>259</v>
      </c>
      <c r="B267" s="4">
        <v>45930</v>
      </c>
      <c r="C267" t="s">
        <v>92</v>
      </c>
      <c r="D267" t="s">
        <v>101</v>
      </c>
      <c r="E267">
        <v>234.4</v>
      </c>
      <c r="F267" s="5">
        <v>0.17399999999999999</v>
      </c>
      <c r="G267" t="s">
        <v>104</v>
      </c>
      <c r="H267" s="35">
        <f>Table2[[#This Row],[Units_kWh]]*Table2[[#This Row],[Tariff_per_kWh]]</f>
        <v>40.785599999999995</v>
      </c>
    </row>
    <row r="268" spans="1:8">
      <c r="A268" t="s">
        <v>415</v>
      </c>
      <c r="B268" s="4">
        <v>46171</v>
      </c>
      <c r="C268" t="s">
        <v>91</v>
      </c>
      <c r="D268" t="s">
        <v>101</v>
      </c>
      <c r="E268">
        <v>178.4</v>
      </c>
      <c r="F268" s="5">
        <v>0.18</v>
      </c>
      <c r="G268" t="s">
        <v>104</v>
      </c>
      <c r="H268" s="35">
        <f>Table2[[#This Row],[Units_kWh]]*Table2[[#This Row],[Tariff_per_kWh]]</f>
        <v>32.112000000000002</v>
      </c>
    </row>
    <row r="269" spans="1:8">
      <c r="A269" t="s">
        <v>315</v>
      </c>
      <c r="B269" s="4">
        <v>45793</v>
      </c>
      <c r="C269" t="s">
        <v>87</v>
      </c>
      <c r="D269" t="s">
        <v>101</v>
      </c>
      <c r="E269">
        <v>401.8</v>
      </c>
      <c r="F269" s="5">
        <v>0.184</v>
      </c>
      <c r="G269" t="s">
        <v>104</v>
      </c>
      <c r="H269" s="35">
        <f>Table2[[#This Row],[Units_kWh]]*Table2[[#This Row],[Tariff_per_kWh]]</f>
        <v>73.931200000000004</v>
      </c>
    </row>
    <row r="270" spans="1:8">
      <c r="A270" t="s">
        <v>114</v>
      </c>
      <c r="B270" s="4">
        <v>45858</v>
      </c>
      <c r="C270" t="s">
        <v>87</v>
      </c>
      <c r="D270" t="s">
        <v>101</v>
      </c>
      <c r="E270">
        <v>141.1</v>
      </c>
      <c r="F270" s="5">
        <v>0.17299999999999999</v>
      </c>
      <c r="G270" t="s">
        <v>104</v>
      </c>
      <c r="H270" s="35">
        <f>Table2[[#This Row],[Units_kWh]]*Table2[[#This Row],[Tariff_per_kWh]]</f>
        <v>24.410299999999996</v>
      </c>
    </row>
    <row r="271" spans="1:8">
      <c r="A271" t="s">
        <v>163</v>
      </c>
      <c r="B271" s="4">
        <v>46196</v>
      </c>
      <c r="C271" t="s">
        <v>89</v>
      </c>
      <c r="D271" t="s">
        <v>101</v>
      </c>
      <c r="E271">
        <v>308.10000000000002</v>
      </c>
      <c r="F271" s="5">
        <v>0.188</v>
      </c>
      <c r="G271" t="s">
        <v>142</v>
      </c>
      <c r="H271" s="35">
        <f>Table2[[#This Row],[Units_kWh]]*Table2[[#This Row],[Tariff_per_kWh]]</f>
        <v>57.922800000000002</v>
      </c>
    </row>
    <row r="272" spans="1:8">
      <c r="A272" t="s">
        <v>193</v>
      </c>
      <c r="B272" s="4">
        <v>46187</v>
      </c>
      <c r="C272" t="s">
        <v>87</v>
      </c>
      <c r="D272" t="s">
        <v>101</v>
      </c>
      <c r="E272">
        <v>0</v>
      </c>
      <c r="F272" s="5">
        <v>0.184</v>
      </c>
      <c r="G272" t="s">
        <v>142</v>
      </c>
      <c r="H272" s="35">
        <f>Table2[[#This Row],[Units_kWh]]*Table2[[#This Row],[Tariff_per_kWh]]</f>
        <v>0</v>
      </c>
    </row>
    <row r="273" spans="1:8">
      <c r="A273" t="s">
        <v>310</v>
      </c>
      <c r="B273" s="4">
        <v>45952</v>
      </c>
      <c r="C273" t="s">
        <v>91</v>
      </c>
      <c r="D273" t="s">
        <v>101</v>
      </c>
      <c r="E273">
        <v>244.7</v>
      </c>
      <c r="F273" s="5">
        <v>0.17899999999999999</v>
      </c>
      <c r="G273" t="s">
        <v>104</v>
      </c>
      <c r="H273" s="35">
        <f>Table2[[#This Row],[Units_kWh]]*Table2[[#This Row],[Tariff_per_kWh]]</f>
        <v>43.801299999999998</v>
      </c>
    </row>
    <row r="274" spans="1:8">
      <c r="A274" t="s">
        <v>376</v>
      </c>
      <c r="B274" s="4">
        <v>45979</v>
      </c>
      <c r="C274" t="s">
        <v>88</v>
      </c>
      <c r="D274" t="s">
        <v>101</v>
      </c>
      <c r="E274">
        <v>185.5</v>
      </c>
      <c r="F274" s="5">
        <v>0.183</v>
      </c>
      <c r="G274" t="s">
        <v>104</v>
      </c>
      <c r="H274" s="35">
        <f>Table2[[#This Row],[Units_kWh]]*Table2[[#This Row],[Tariff_per_kWh]]</f>
        <v>33.9465</v>
      </c>
    </row>
    <row r="275" spans="1:8">
      <c r="A275" t="s">
        <v>141</v>
      </c>
      <c r="B275" s="4">
        <v>45963</v>
      </c>
      <c r="C275" t="s">
        <v>342</v>
      </c>
      <c r="D275" t="s">
        <v>101</v>
      </c>
      <c r="E275">
        <v>92.9</v>
      </c>
      <c r="F275" s="5">
        <v>0.17399999999999999</v>
      </c>
      <c r="G275" t="s">
        <v>104</v>
      </c>
      <c r="H275" s="35">
        <f>Table2[[#This Row],[Units_kWh]]*Table2[[#This Row],[Tariff_per_kWh]]</f>
        <v>16.1646</v>
      </c>
    </row>
    <row r="276" spans="1:8">
      <c r="A276" t="s">
        <v>236</v>
      </c>
      <c r="B276" s="4">
        <v>45959</v>
      </c>
      <c r="C276" t="s">
        <v>93</v>
      </c>
      <c r="D276" t="s">
        <v>101</v>
      </c>
      <c r="E276">
        <v>140</v>
      </c>
      <c r="F276" s="5">
        <v>0.187</v>
      </c>
      <c r="G276" t="s">
        <v>142</v>
      </c>
      <c r="H276" s="35">
        <f>Table2[[#This Row],[Units_kWh]]*Table2[[#This Row],[Tariff_per_kWh]]</f>
        <v>26.18</v>
      </c>
    </row>
    <row r="277" spans="1:8">
      <c r="A277" t="s">
        <v>341</v>
      </c>
      <c r="B277" s="4">
        <v>45923</v>
      </c>
      <c r="C277" t="s">
        <v>90</v>
      </c>
      <c r="D277" t="s">
        <v>101</v>
      </c>
      <c r="E277">
        <v>283.89999999999998</v>
      </c>
      <c r="F277" s="5">
        <v>0.184</v>
      </c>
      <c r="G277" t="s">
        <v>104</v>
      </c>
      <c r="H277" s="35">
        <f>Table2[[#This Row],[Units_kWh]]*Table2[[#This Row],[Tariff_per_kWh]]</f>
        <v>52.237599999999993</v>
      </c>
    </row>
    <row r="278" spans="1:8">
      <c r="A278" t="s">
        <v>393</v>
      </c>
      <c r="B278" s="4">
        <v>46074</v>
      </c>
      <c r="C278" t="s">
        <v>89</v>
      </c>
      <c r="D278" t="s">
        <v>101</v>
      </c>
      <c r="E278">
        <v>643.20000000000005</v>
      </c>
      <c r="F278" s="5">
        <v>0.17499999999999999</v>
      </c>
      <c r="G278" t="s">
        <v>464</v>
      </c>
      <c r="H278" s="35">
        <f>Table2[[#This Row],[Units_kWh]]*Table2[[#This Row],[Tariff_per_kWh]]</f>
        <v>112.56</v>
      </c>
    </row>
    <row r="279" spans="1:8">
      <c r="A279" t="s">
        <v>394</v>
      </c>
      <c r="B279" s="4">
        <v>45991</v>
      </c>
      <c r="C279" t="s">
        <v>88</v>
      </c>
      <c r="D279" t="s">
        <v>101</v>
      </c>
      <c r="E279">
        <v>175.7</v>
      </c>
      <c r="F279" s="5">
        <v>0</v>
      </c>
      <c r="G279" t="s">
        <v>104</v>
      </c>
      <c r="H279" s="35">
        <f>Table2[[#This Row],[Units_kWh]]*Table2[[#This Row],[Tariff_per_kWh]]</f>
        <v>0</v>
      </c>
    </row>
    <row r="280" spans="1:8">
      <c r="A280" t="s">
        <v>395</v>
      </c>
      <c r="B280" s="4">
        <v>45749</v>
      </c>
      <c r="C280" t="s">
        <v>88</v>
      </c>
      <c r="D280" t="s">
        <v>101</v>
      </c>
      <c r="E280">
        <v>133.5</v>
      </c>
      <c r="F280" s="5">
        <v>0.17499999999999999</v>
      </c>
      <c r="G280" t="s">
        <v>104</v>
      </c>
      <c r="H280" s="35">
        <f>Table2[[#This Row],[Units_kWh]]*Table2[[#This Row],[Tariff_per_kWh]]</f>
        <v>23.362499999999997</v>
      </c>
    </row>
    <row r="281" spans="1:8">
      <c r="A281" t="s">
        <v>396</v>
      </c>
      <c r="B281" s="4">
        <v>45733</v>
      </c>
      <c r="C281" t="s">
        <v>88</v>
      </c>
      <c r="D281" t="s">
        <v>101</v>
      </c>
      <c r="E281">
        <v>359.2</v>
      </c>
      <c r="F281" s="5">
        <v>0.17799999999999999</v>
      </c>
      <c r="G281" t="s">
        <v>104</v>
      </c>
      <c r="H281" s="35">
        <f>Table2[[#This Row],[Units_kWh]]*Table2[[#This Row],[Tariff_per_kWh]]</f>
        <v>63.937599999999996</v>
      </c>
    </row>
    <row r="282" spans="1:8">
      <c r="A282" t="s">
        <v>397</v>
      </c>
      <c r="B282" s="4">
        <v>46167</v>
      </c>
      <c r="C282" t="s">
        <v>87</v>
      </c>
      <c r="D282" t="s">
        <v>101</v>
      </c>
      <c r="E282">
        <v>445.4</v>
      </c>
      <c r="F282" s="5">
        <v>0.17199999999999999</v>
      </c>
      <c r="G282" t="s">
        <v>102</v>
      </c>
      <c r="H282" s="35">
        <f>Table2[[#This Row],[Units_kWh]]*Table2[[#This Row],[Tariff_per_kWh]]</f>
        <v>76.608799999999988</v>
      </c>
    </row>
    <row r="283" spans="1:8">
      <c r="A283" t="s">
        <v>398</v>
      </c>
      <c r="B283" s="4">
        <v>46062</v>
      </c>
      <c r="C283" t="s">
        <v>87</v>
      </c>
      <c r="D283" t="s">
        <v>101</v>
      </c>
      <c r="E283">
        <v>572</v>
      </c>
      <c r="F283" s="5">
        <v>0.17399999999999999</v>
      </c>
      <c r="G283" t="s">
        <v>104</v>
      </c>
      <c r="H283" s="35">
        <f>Table2[[#This Row],[Units_kWh]]*Table2[[#This Row],[Tariff_per_kWh]]</f>
        <v>99.527999999999992</v>
      </c>
    </row>
    <row r="284" spans="1:8">
      <c r="A284" t="s">
        <v>184</v>
      </c>
      <c r="B284" s="4">
        <v>45850</v>
      </c>
      <c r="C284" t="s">
        <v>88</v>
      </c>
      <c r="D284" t="s">
        <v>463</v>
      </c>
      <c r="E284">
        <v>102.6</v>
      </c>
      <c r="F284" s="5">
        <v>0.184</v>
      </c>
      <c r="G284" t="s">
        <v>102</v>
      </c>
      <c r="H284" s="35">
        <f>Table2[[#This Row],[Units_kWh]]*Table2[[#This Row],[Tariff_per_kWh]]</f>
        <v>18.878399999999999</v>
      </c>
    </row>
    <row r="285" spans="1:8">
      <c r="A285" t="s">
        <v>198</v>
      </c>
      <c r="B285" s="4">
        <v>46091</v>
      </c>
      <c r="C285" t="s">
        <v>87</v>
      </c>
      <c r="D285" t="s">
        <v>463</v>
      </c>
      <c r="E285">
        <v>1967.8</v>
      </c>
      <c r="F285" s="5">
        <v>0.254</v>
      </c>
      <c r="G285" t="s">
        <v>104</v>
      </c>
      <c r="H285" s="35">
        <f>Table2[[#This Row],[Units_kWh]]*Table2[[#This Row],[Tariff_per_kWh]]</f>
        <v>499.82119999999998</v>
      </c>
    </row>
    <row r="286" spans="1:8">
      <c r="A286" t="s">
        <v>375</v>
      </c>
      <c r="B286" s="4">
        <v>45962</v>
      </c>
      <c r="C286" t="s">
        <v>87</v>
      </c>
      <c r="D286" t="s">
        <v>463</v>
      </c>
      <c r="E286">
        <v>528.4</v>
      </c>
      <c r="F286" s="5">
        <v>0.17899999999999999</v>
      </c>
      <c r="G286" t="s">
        <v>104</v>
      </c>
      <c r="H286" s="35">
        <f>Table2[[#This Row],[Units_kWh]]*Table2[[#This Row],[Tariff_per_kWh]]</f>
        <v>94.58359999999999</v>
      </c>
    </row>
    <row r="287" spans="1:8">
      <c r="A287" t="s">
        <v>274</v>
      </c>
      <c r="B287" s="4">
        <v>46027</v>
      </c>
      <c r="C287" t="s">
        <v>88</v>
      </c>
      <c r="D287" t="s">
        <v>463</v>
      </c>
      <c r="E287">
        <v>277.2</v>
      </c>
      <c r="F287" s="5">
        <v>0.17899999999999999</v>
      </c>
      <c r="G287" t="s">
        <v>102</v>
      </c>
      <c r="H287" s="35">
        <f>Table2[[#This Row],[Units_kWh]]*Table2[[#This Row],[Tariff_per_kWh]]</f>
        <v>49.618799999999993</v>
      </c>
    </row>
    <row r="288" spans="1:8">
      <c r="A288" t="s">
        <v>214</v>
      </c>
      <c r="B288" s="4">
        <v>45770</v>
      </c>
      <c r="C288" t="s">
        <v>87</v>
      </c>
      <c r="D288" t="s">
        <v>463</v>
      </c>
      <c r="E288">
        <v>333.2</v>
      </c>
      <c r="F288" s="5">
        <v>0</v>
      </c>
      <c r="G288" t="s">
        <v>142</v>
      </c>
      <c r="H288" s="35">
        <f>Table2[[#This Row],[Units_kWh]]*Table2[[#This Row],[Tariff_per_kWh]]</f>
        <v>0</v>
      </c>
    </row>
    <row r="289" spans="1:8">
      <c r="A289" t="s">
        <v>247</v>
      </c>
      <c r="B289" s="4">
        <v>45839</v>
      </c>
      <c r="C289" t="s">
        <v>91</v>
      </c>
      <c r="D289" t="s">
        <v>463</v>
      </c>
      <c r="E289">
        <v>163</v>
      </c>
      <c r="F289" s="5">
        <v>0.185</v>
      </c>
      <c r="G289" t="s">
        <v>104</v>
      </c>
      <c r="H289" s="35">
        <f>Table2[[#This Row],[Units_kWh]]*Table2[[#This Row],[Tariff_per_kWh]]</f>
        <v>30.155000000000001</v>
      </c>
    </row>
    <row r="290" spans="1:8">
      <c r="A290" t="s">
        <v>340</v>
      </c>
      <c r="B290" s="4">
        <v>45901</v>
      </c>
      <c r="C290" t="s">
        <v>87</v>
      </c>
      <c r="D290" t="s">
        <v>463</v>
      </c>
      <c r="E290">
        <v>651.29999999999995</v>
      </c>
      <c r="F290" s="5">
        <v>0.23100000000000001</v>
      </c>
      <c r="G290" t="s">
        <v>104</v>
      </c>
      <c r="H290" s="35">
        <f>Table2[[#This Row],[Units_kWh]]*Table2[[#This Row],[Tariff_per_kWh]]</f>
        <v>150.4503</v>
      </c>
    </row>
    <row r="291" spans="1:8">
      <c r="A291" t="s">
        <v>176</v>
      </c>
      <c r="B291" s="4">
        <v>45856</v>
      </c>
      <c r="C291" t="s">
        <v>87</v>
      </c>
      <c r="D291" t="s">
        <v>463</v>
      </c>
      <c r="E291">
        <v>2133.9</v>
      </c>
      <c r="F291" s="5">
        <v>0.22500000000000001</v>
      </c>
      <c r="G291" t="s">
        <v>104</v>
      </c>
      <c r="H291" s="35">
        <f>Table2[[#This Row],[Units_kWh]]*Table2[[#This Row],[Tariff_per_kWh]]</f>
        <v>480.12750000000005</v>
      </c>
    </row>
    <row r="292" spans="1:8">
      <c r="A292" t="s">
        <v>154</v>
      </c>
      <c r="B292" s="4">
        <v>45902</v>
      </c>
      <c r="C292" t="s">
        <v>89</v>
      </c>
      <c r="D292" t="s">
        <v>463</v>
      </c>
      <c r="E292">
        <v>1907.7</v>
      </c>
      <c r="F292" s="5">
        <v>0.26100000000000001</v>
      </c>
      <c r="G292" t="s">
        <v>104</v>
      </c>
      <c r="H292" s="35">
        <f>Table2[[#This Row],[Units_kWh]]*Table2[[#This Row],[Tariff_per_kWh]]</f>
        <v>497.90970000000004</v>
      </c>
    </row>
    <row r="293" spans="1:8">
      <c r="A293" t="s">
        <v>412</v>
      </c>
      <c r="B293" s="4">
        <v>45708</v>
      </c>
      <c r="C293" t="s">
        <v>87</v>
      </c>
      <c r="D293" t="s">
        <v>463</v>
      </c>
      <c r="E293">
        <v>392.9</v>
      </c>
      <c r="F293" s="5">
        <v>0.187</v>
      </c>
      <c r="G293" t="s">
        <v>104</v>
      </c>
      <c r="H293" s="35">
        <f>Table2[[#This Row],[Units_kWh]]*Table2[[#This Row],[Tariff_per_kWh]]</f>
        <v>73.47229999999999</v>
      </c>
    </row>
    <row r="294" spans="1:8">
      <c r="A294" t="s">
        <v>372</v>
      </c>
      <c r="B294" s="4">
        <v>45681</v>
      </c>
      <c r="C294" t="s">
        <v>87</v>
      </c>
      <c r="D294" t="s">
        <v>463</v>
      </c>
      <c r="E294">
        <v>2073.9</v>
      </c>
      <c r="F294" s="5">
        <v>0.22</v>
      </c>
      <c r="G294" t="s">
        <v>104</v>
      </c>
      <c r="H294" s="35">
        <f>Table2[[#This Row],[Units_kWh]]*Table2[[#This Row],[Tariff_per_kWh]]</f>
        <v>456.25800000000004</v>
      </c>
    </row>
    <row r="295" spans="1:8">
      <c r="A295" t="s">
        <v>311</v>
      </c>
      <c r="B295" s="4">
        <v>46132</v>
      </c>
      <c r="C295" t="s">
        <v>92</v>
      </c>
      <c r="D295" t="s">
        <v>463</v>
      </c>
      <c r="E295">
        <v>592.70000000000005</v>
      </c>
      <c r="F295" s="5">
        <v>0.17699999999999999</v>
      </c>
      <c r="G295" t="s">
        <v>189</v>
      </c>
      <c r="H295" s="35">
        <f>Table2[[#This Row],[Units_kWh]]*Table2[[#This Row],[Tariff_per_kWh]]</f>
        <v>104.9079</v>
      </c>
    </row>
    <row r="296" spans="1:8">
      <c r="A296" t="s">
        <v>370</v>
      </c>
      <c r="B296" s="4">
        <v>46139</v>
      </c>
      <c r="C296" t="s">
        <v>88</v>
      </c>
      <c r="D296" t="s">
        <v>463</v>
      </c>
      <c r="E296">
        <v>144.4</v>
      </c>
      <c r="F296" s="5">
        <v>0.18</v>
      </c>
      <c r="G296" t="s">
        <v>102</v>
      </c>
      <c r="H296" s="35">
        <f>Table2[[#This Row],[Units_kWh]]*Table2[[#This Row],[Tariff_per_kWh]]</f>
        <v>25.992000000000001</v>
      </c>
    </row>
    <row r="297" spans="1:8">
      <c r="A297" t="s">
        <v>329</v>
      </c>
      <c r="B297" s="4">
        <v>46082</v>
      </c>
      <c r="C297" t="s">
        <v>91</v>
      </c>
      <c r="D297" t="s">
        <v>463</v>
      </c>
      <c r="E297">
        <v>3446.1</v>
      </c>
      <c r="F297" s="5">
        <v>0.252</v>
      </c>
      <c r="G297" t="s">
        <v>142</v>
      </c>
      <c r="H297" s="35">
        <f>Table2[[#This Row],[Units_kWh]]*Table2[[#This Row],[Tariff_per_kWh]]</f>
        <v>868.41719999999998</v>
      </c>
    </row>
    <row r="298" spans="1:8">
      <c r="A298" t="s">
        <v>231</v>
      </c>
      <c r="B298" s="4">
        <v>45878</v>
      </c>
      <c r="C298" t="s">
        <v>92</v>
      </c>
      <c r="D298" t="s">
        <v>463</v>
      </c>
      <c r="E298">
        <v>699.7</v>
      </c>
      <c r="F298" s="5">
        <v>0.223</v>
      </c>
      <c r="G298" t="s">
        <v>102</v>
      </c>
      <c r="H298" s="35">
        <f>Table2[[#This Row],[Units_kWh]]*Table2[[#This Row],[Tariff_per_kWh]]</f>
        <v>156.03310000000002</v>
      </c>
    </row>
    <row r="299" spans="1:8">
      <c r="A299" t="s">
        <v>344</v>
      </c>
      <c r="B299" s="4">
        <v>45749</v>
      </c>
      <c r="C299" t="s">
        <v>88</v>
      </c>
      <c r="D299" t="s">
        <v>463</v>
      </c>
      <c r="E299">
        <v>989.4</v>
      </c>
      <c r="F299" s="5">
        <v>0.223</v>
      </c>
      <c r="G299" t="s">
        <v>137</v>
      </c>
      <c r="H299" s="35">
        <f>Table2[[#This Row],[Units_kWh]]*Table2[[#This Row],[Tariff_per_kWh]]</f>
        <v>220.6362</v>
      </c>
    </row>
    <row r="300" spans="1:8">
      <c r="A300" t="s">
        <v>399</v>
      </c>
      <c r="B300" s="4">
        <v>45960</v>
      </c>
      <c r="C300" t="s">
        <v>87</v>
      </c>
      <c r="D300" t="s">
        <v>463</v>
      </c>
      <c r="E300">
        <v>529.70000000000005</v>
      </c>
      <c r="F300" s="5">
        <v>0.186</v>
      </c>
      <c r="G300" t="s">
        <v>102</v>
      </c>
      <c r="H300" s="35">
        <f>Table2[[#This Row],[Units_kWh]]*Table2[[#This Row],[Tariff_per_kWh]]</f>
        <v>98.524200000000008</v>
      </c>
    </row>
    <row r="301" spans="1:8">
      <c r="A301" t="s">
        <v>400</v>
      </c>
      <c r="B301" s="4">
        <v>45934</v>
      </c>
      <c r="C301" t="s">
        <v>89</v>
      </c>
      <c r="D301" t="s">
        <v>463</v>
      </c>
      <c r="E301">
        <v>4843.1000000000004</v>
      </c>
      <c r="F301" s="5">
        <v>0.253</v>
      </c>
      <c r="G301" t="s">
        <v>104</v>
      </c>
      <c r="H301" s="35">
        <f>Table2[[#This Row],[Units_kWh]]*Table2[[#This Row],[Tariff_per_kWh]]</f>
        <v>1225.3043</v>
      </c>
    </row>
  </sheetData>
  <phoneticPr fontId="4"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01"/>
  <sheetViews>
    <sheetView workbookViewId="0">
      <selection activeCell="H1" sqref="H1"/>
    </sheetView>
  </sheetViews>
  <sheetFormatPr defaultRowHeight="13.8"/>
  <cols>
    <col min="1" max="1" width="18" customWidth="1"/>
    <col min="2" max="4" width="21" customWidth="1"/>
    <col min="5" max="6" width="18" customWidth="1"/>
    <col min="7" max="7" width="20" customWidth="1"/>
  </cols>
  <sheetData>
    <row r="1" spans="1:7">
      <c r="A1" s="3" t="s">
        <v>94</v>
      </c>
      <c r="B1" s="3" t="s">
        <v>95</v>
      </c>
      <c r="C1" s="3" t="s">
        <v>96</v>
      </c>
      <c r="D1" s="3" t="s">
        <v>86</v>
      </c>
      <c r="E1" s="3" t="s">
        <v>97</v>
      </c>
      <c r="F1" s="3" t="s">
        <v>98</v>
      </c>
      <c r="G1" s="3" t="s">
        <v>99</v>
      </c>
    </row>
    <row r="2" spans="1:7">
      <c r="A2" t="s">
        <v>100</v>
      </c>
      <c r="B2" s="4">
        <v>45841</v>
      </c>
      <c r="C2" t="s">
        <v>92</v>
      </c>
      <c r="D2" t="s">
        <v>101</v>
      </c>
      <c r="E2">
        <v>189.1</v>
      </c>
      <c r="F2" s="5">
        <v>0.184</v>
      </c>
      <c r="G2" t="s">
        <v>102</v>
      </c>
    </row>
    <row r="3" spans="1:7">
      <c r="A3" t="s">
        <v>103</v>
      </c>
      <c r="B3" s="4">
        <v>46085</v>
      </c>
      <c r="C3" t="s">
        <v>91</v>
      </c>
      <c r="D3" t="s">
        <v>101</v>
      </c>
      <c r="E3">
        <v>329.7</v>
      </c>
      <c r="F3" s="5">
        <v>0.17799999999999999</v>
      </c>
      <c r="G3" t="s">
        <v>104</v>
      </c>
    </row>
    <row r="4" spans="1:7">
      <c r="A4" t="s">
        <v>105</v>
      </c>
      <c r="B4" s="4">
        <v>46028</v>
      </c>
      <c r="C4" t="s">
        <v>88</v>
      </c>
      <c r="D4" t="s">
        <v>106</v>
      </c>
      <c r="F4" s="5">
        <v>0.21299999999999999</v>
      </c>
      <c r="G4" t="s">
        <v>104</v>
      </c>
    </row>
    <row r="5" spans="1:7">
      <c r="A5" t="s">
        <v>107</v>
      </c>
      <c r="B5" s="4">
        <v>45962</v>
      </c>
      <c r="C5" t="s">
        <v>87</v>
      </c>
      <c r="D5" t="s">
        <v>85</v>
      </c>
      <c r="E5">
        <v>528.4</v>
      </c>
      <c r="F5" s="5">
        <v>0.17899999999999999</v>
      </c>
      <c r="G5" t="s">
        <v>104</v>
      </c>
    </row>
    <row r="6" spans="1:7">
      <c r="A6" t="s">
        <v>108</v>
      </c>
      <c r="B6" s="4">
        <v>45839</v>
      </c>
      <c r="C6" t="s">
        <v>91</v>
      </c>
      <c r="E6">
        <v>163</v>
      </c>
      <c r="F6" s="5">
        <v>0.185</v>
      </c>
      <c r="G6" t="s">
        <v>104</v>
      </c>
    </row>
    <row r="7" spans="1:7">
      <c r="A7" t="s">
        <v>109</v>
      </c>
      <c r="B7" s="4">
        <v>45775</v>
      </c>
      <c r="C7" t="s">
        <v>89</v>
      </c>
      <c r="D7" t="s">
        <v>110</v>
      </c>
      <c r="E7">
        <v>4182.5</v>
      </c>
      <c r="F7" s="5">
        <v>0.26</v>
      </c>
      <c r="G7" t="s">
        <v>104</v>
      </c>
    </row>
    <row r="8" spans="1:7">
      <c r="A8" t="s">
        <v>111</v>
      </c>
      <c r="B8" s="4">
        <v>45831</v>
      </c>
      <c r="C8" t="s">
        <v>89</v>
      </c>
      <c r="D8" t="s">
        <v>101</v>
      </c>
      <c r="E8">
        <v>493.3</v>
      </c>
      <c r="F8" s="5">
        <v>0.184</v>
      </c>
      <c r="G8" t="s">
        <v>102</v>
      </c>
    </row>
    <row r="9" spans="1:7">
      <c r="A9" t="s">
        <v>112</v>
      </c>
      <c r="B9" s="4">
        <v>45708</v>
      </c>
      <c r="C9" t="s">
        <v>87</v>
      </c>
      <c r="E9">
        <v>392.9</v>
      </c>
      <c r="F9" s="5">
        <v>0.187</v>
      </c>
      <c r="G9" t="s">
        <v>104</v>
      </c>
    </row>
    <row r="10" spans="1:7">
      <c r="A10" t="s">
        <v>113</v>
      </c>
      <c r="B10" s="4">
        <v>45814</v>
      </c>
      <c r="D10" t="s">
        <v>101</v>
      </c>
      <c r="E10">
        <v>540.79999999999995</v>
      </c>
      <c r="F10" s="5">
        <v>0.182</v>
      </c>
      <c r="G10" t="s">
        <v>104</v>
      </c>
    </row>
    <row r="11" spans="1:7">
      <c r="A11" t="s">
        <v>114</v>
      </c>
      <c r="B11" s="4">
        <v>46007</v>
      </c>
      <c r="C11" t="s">
        <v>87</v>
      </c>
      <c r="D11" t="s">
        <v>101</v>
      </c>
      <c r="E11">
        <v>563.29999999999995</v>
      </c>
      <c r="F11" s="5">
        <v>0.183</v>
      </c>
      <c r="G11" t="s">
        <v>104</v>
      </c>
    </row>
    <row r="12" spans="1:7">
      <c r="A12" t="s">
        <v>115</v>
      </c>
      <c r="B12" s="4">
        <v>45950</v>
      </c>
      <c r="C12" t="s">
        <v>87</v>
      </c>
      <c r="D12" t="s">
        <v>101</v>
      </c>
      <c r="E12">
        <v>285.2</v>
      </c>
      <c r="F12" s="5">
        <v>0.17799999999999999</v>
      </c>
      <c r="G12" t="s">
        <v>104</v>
      </c>
    </row>
    <row r="13" spans="1:7">
      <c r="A13" t="s">
        <v>116</v>
      </c>
      <c r="B13" s="4">
        <v>46153</v>
      </c>
      <c r="C13" t="s">
        <v>87</v>
      </c>
      <c r="D13" t="s">
        <v>106</v>
      </c>
      <c r="F13" s="5">
        <v>0.22800000000000001</v>
      </c>
      <c r="G13" t="s">
        <v>102</v>
      </c>
    </row>
    <row r="14" spans="1:7">
      <c r="A14" t="s">
        <v>117</v>
      </c>
      <c r="B14" s="4">
        <v>45718</v>
      </c>
      <c r="C14" t="s">
        <v>90</v>
      </c>
      <c r="D14" t="s">
        <v>101</v>
      </c>
      <c r="E14">
        <v>10022</v>
      </c>
      <c r="F14" s="5">
        <v>0.187</v>
      </c>
      <c r="G14" t="s">
        <v>104</v>
      </c>
    </row>
    <row r="15" spans="1:7">
      <c r="A15" t="s">
        <v>118</v>
      </c>
      <c r="B15" s="4">
        <v>45668</v>
      </c>
      <c r="C15" t="s">
        <v>87</v>
      </c>
      <c r="D15" t="s">
        <v>101</v>
      </c>
      <c r="E15">
        <v>475</v>
      </c>
      <c r="F15" s="5">
        <v>0.17599999999999999</v>
      </c>
      <c r="G15" t="s">
        <v>104</v>
      </c>
    </row>
    <row r="16" spans="1:7">
      <c r="A16" t="s">
        <v>119</v>
      </c>
      <c r="B16" s="4">
        <v>46048</v>
      </c>
      <c r="C16" t="s">
        <v>87</v>
      </c>
      <c r="D16" t="s">
        <v>101</v>
      </c>
      <c r="E16">
        <v>464.8</v>
      </c>
      <c r="F16" s="5">
        <v>0.188</v>
      </c>
      <c r="G16" t="s">
        <v>104</v>
      </c>
    </row>
    <row r="17" spans="1:7">
      <c r="A17" t="s">
        <v>120</v>
      </c>
      <c r="B17" s="4">
        <v>46015</v>
      </c>
      <c r="C17" t="s">
        <v>91</v>
      </c>
      <c r="D17" t="s">
        <v>101</v>
      </c>
      <c r="E17">
        <v>566.79999999999995</v>
      </c>
      <c r="F17" s="5">
        <v>0.187</v>
      </c>
      <c r="G17" t="s">
        <v>104</v>
      </c>
    </row>
    <row r="18" spans="1:7">
      <c r="A18" t="s">
        <v>121</v>
      </c>
      <c r="B18" s="4">
        <v>45897</v>
      </c>
      <c r="C18" t="s">
        <v>87</v>
      </c>
      <c r="D18" t="s">
        <v>101</v>
      </c>
      <c r="E18">
        <v>359.6</v>
      </c>
      <c r="F18" s="5">
        <v>0.183</v>
      </c>
      <c r="G18" t="s">
        <v>104</v>
      </c>
    </row>
    <row r="19" spans="1:7">
      <c r="A19" t="s">
        <v>122</v>
      </c>
      <c r="B19" s="4">
        <v>46027</v>
      </c>
      <c r="C19" t="s">
        <v>89</v>
      </c>
      <c r="D19" t="s">
        <v>106</v>
      </c>
      <c r="E19">
        <v>693.1</v>
      </c>
      <c r="F19" s="5">
        <v>0.221</v>
      </c>
      <c r="G19" t="s">
        <v>104</v>
      </c>
    </row>
    <row r="20" spans="1:7">
      <c r="A20" t="s">
        <v>123</v>
      </c>
      <c r="B20" s="4">
        <v>45691</v>
      </c>
      <c r="C20" t="s">
        <v>90</v>
      </c>
      <c r="D20" t="s">
        <v>106</v>
      </c>
      <c r="E20">
        <v>578.20000000000005</v>
      </c>
      <c r="F20" s="5">
        <v>0.22900000000000001</v>
      </c>
      <c r="G20" t="s">
        <v>104</v>
      </c>
    </row>
    <row r="21" spans="1:7">
      <c r="A21" t="s">
        <v>124</v>
      </c>
      <c r="B21" s="4">
        <v>45958</v>
      </c>
      <c r="C21" t="s">
        <v>87</v>
      </c>
      <c r="D21" t="s">
        <v>101</v>
      </c>
      <c r="E21">
        <v>548</v>
      </c>
      <c r="F21" s="5">
        <v>0.18099999999999999</v>
      </c>
      <c r="G21" t="s">
        <v>104</v>
      </c>
    </row>
    <row r="22" spans="1:7">
      <c r="A22" t="s">
        <v>125</v>
      </c>
      <c r="B22" s="4">
        <v>45841</v>
      </c>
      <c r="C22" t="s">
        <v>87</v>
      </c>
      <c r="D22" t="s">
        <v>106</v>
      </c>
      <c r="E22">
        <v>545.5</v>
      </c>
      <c r="F22" s="5">
        <v>0.22600000000000001</v>
      </c>
      <c r="G22" t="s">
        <v>104</v>
      </c>
    </row>
    <row r="23" spans="1:7">
      <c r="A23" t="s">
        <v>126</v>
      </c>
      <c r="B23" s="4">
        <v>45873</v>
      </c>
      <c r="C23" t="s">
        <v>89</v>
      </c>
      <c r="D23" t="s">
        <v>101</v>
      </c>
      <c r="E23">
        <v>273.3</v>
      </c>
      <c r="F23" s="5">
        <v>0.17599999999999999</v>
      </c>
    </row>
    <row r="24" spans="1:7">
      <c r="A24" t="s">
        <v>127</v>
      </c>
      <c r="B24" s="4">
        <v>45943</v>
      </c>
      <c r="C24" t="s">
        <v>92</v>
      </c>
      <c r="D24" t="s">
        <v>101</v>
      </c>
      <c r="E24">
        <v>458.8</v>
      </c>
      <c r="F24" s="5">
        <v>0.17199999999999999</v>
      </c>
      <c r="G24" t="s">
        <v>104</v>
      </c>
    </row>
    <row r="25" spans="1:7">
      <c r="A25" t="s">
        <v>128</v>
      </c>
      <c r="B25" s="4"/>
      <c r="C25" t="s">
        <v>92</v>
      </c>
      <c r="D25" t="s">
        <v>101</v>
      </c>
      <c r="E25">
        <v>427.8</v>
      </c>
      <c r="F25" s="5">
        <v>0.17100000000000001</v>
      </c>
      <c r="G25" t="s">
        <v>104</v>
      </c>
    </row>
    <row r="26" spans="1:7">
      <c r="A26" t="s">
        <v>129</v>
      </c>
      <c r="B26" s="4">
        <v>45935</v>
      </c>
      <c r="C26" t="s">
        <v>87</v>
      </c>
      <c r="D26" t="s">
        <v>101</v>
      </c>
      <c r="E26">
        <v>447.4</v>
      </c>
      <c r="F26" s="5">
        <v>0.18</v>
      </c>
      <c r="G26" t="s">
        <v>104</v>
      </c>
    </row>
    <row r="27" spans="1:7">
      <c r="A27" t="s">
        <v>130</v>
      </c>
      <c r="B27" s="4">
        <v>45856</v>
      </c>
      <c r="C27" t="s">
        <v>87</v>
      </c>
      <c r="E27">
        <v>2133.9</v>
      </c>
      <c r="F27" s="5">
        <v>0.22500000000000001</v>
      </c>
      <c r="G27" t="s">
        <v>104</v>
      </c>
    </row>
    <row r="28" spans="1:7">
      <c r="A28" t="s">
        <v>131</v>
      </c>
      <c r="B28" s="4">
        <v>45774</v>
      </c>
      <c r="C28" t="s">
        <v>89</v>
      </c>
      <c r="D28" t="s">
        <v>101</v>
      </c>
      <c r="E28">
        <v>145.19999999999999</v>
      </c>
      <c r="F28" s="5">
        <v>0.184</v>
      </c>
      <c r="G28" t="s">
        <v>104</v>
      </c>
    </row>
    <row r="29" spans="1:7">
      <c r="A29" t="s">
        <v>132</v>
      </c>
      <c r="B29" s="4">
        <v>46208</v>
      </c>
      <c r="C29" t="s">
        <v>92</v>
      </c>
      <c r="D29" t="s">
        <v>106</v>
      </c>
      <c r="E29">
        <v>1549.2</v>
      </c>
      <c r="F29" s="5">
        <v>0.21</v>
      </c>
      <c r="G29" t="s">
        <v>102</v>
      </c>
    </row>
    <row r="30" spans="1:7">
      <c r="A30" t="s">
        <v>133</v>
      </c>
      <c r="B30" s="4"/>
      <c r="C30" t="s">
        <v>88</v>
      </c>
      <c r="D30" t="s">
        <v>101</v>
      </c>
      <c r="E30">
        <v>585.20000000000005</v>
      </c>
      <c r="F30" s="5">
        <v>0.17399999999999999</v>
      </c>
      <c r="G30" t="s">
        <v>102</v>
      </c>
    </row>
    <row r="31" spans="1:7">
      <c r="A31" t="s">
        <v>134</v>
      </c>
      <c r="B31" s="4">
        <v>46209</v>
      </c>
      <c r="C31" t="s">
        <v>90</v>
      </c>
      <c r="D31" t="s">
        <v>101</v>
      </c>
      <c r="E31">
        <v>508.8</v>
      </c>
      <c r="F31" s="5">
        <v>0.185</v>
      </c>
      <c r="G31" t="s">
        <v>104</v>
      </c>
    </row>
    <row r="32" spans="1:7">
      <c r="A32" t="s">
        <v>135</v>
      </c>
      <c r="B32" s="4">
        <v>45884</v>
      </c>
      <c r="C32" t="s">
        <v>92</v>
      </c>
      <c r="D32" t="s">
        <v>101</v>
      </c>
      <c r="E32">
        <v>86</v>
      </c>
      <c r="F32" s="5">
        <v>0.17199999999999999</v>
      </c>
      <c r="G32" t="s">
        <v>104</v>
      </c>
    </row>
    <row r="33" spans="1:7">
      <c r="A33" t="s">
        <v>136</v>
      </c>
      <c r="B33" s="4">
        <v>45659</v>
      </c>
      <c r="C33" t="s">
        <v>87</v>
      </c>
      <c r="D33" t="s">
        <v>110</v>
      </c>
      <c r="E33">
        <v>2743.3</v>
      </c>
      <c r="F33" s="5">
        <v>0.25900000000000001</v>
      </c>
      <c r="G33" t="s">
        <v>137</v>
      </c>
    </row>
    <row r="34" spans="1:7">
      <c r="A34" t="s">
        <v>138</v>
      </c>
      <c r="B34" s="4">
        <v>46207</v>
      </c>
      <c r="C34" t="s">
        <v>87</v>
      </c>
      <c r="D34" t="s">
        <v>106</v>
      </c>
      <c r="E34">
        <v>1522.7</v>
      </c>
      <c r="F34" s="5">
        <v>0.223</v>
      </c>
      <c r="G34" t="s">
        <v>102</v>
      </c>
    </row>
    <row r="35" spans="1:7">
      <c r="A35" t="s">
        <v>139</v>
      </c>
      <c r="B35" s="4">
        <v>46078</v>
      </c>
      <c r="C35" t="s">
        <v>87</v>
      </c>
      <c r="D35" t="s">
        <v>106</v>
      </c>
      <c r="E35">
        <v>539</v>
      </c>
      <c r="F35" s="5">
        <v>0.215</v>
      </c>
      <c r="G35" t="s">
        <v>104</v>
      </c>
    </row>
    <row r="36" spans="1:7">
      <c r="A36" t="s">
        <v>140</v>
      </c>
      <c r="B36" s="4">
        <v>45965</v>
      </c>
      <c r="C36" t="s">
        <v>88</v>
      </c>
      <c r="D36" t="s">
        <v>106</v>
      </c>
      <c r="E36">
        <v>2109.5</v>
      </c>
      <c r="F36" s="5">
        <v>0.22900000000000001</v>
      </c>
      <c r="G36" t="s">
        <v>102</v>
      </c>
    </row>
    <row r="37" spans="1:7">
      <c r="B37" s="4">
        <v>45991</v>
      </c>
      <c r="C37" t="s">
        <v>88</v>
      </c>
      <c r="D37" t="s">
        <v>101</v>
      </c>
      <c r="E37">
        <v>175.7</v>
      </c>
      <c r="F37" s="5" t="s">
        <v>85</v>
      </c>
      <c r="G37" t="s">
        <v>104</v>
      </c>
    </row>
    <row r="38" spans="1:7">
      <c r="A38" t="s">
        <v>141</v>
      </c>
      <c r="B38" s="4">
        <v>46196</v>
      </c>
      <c r="C38" t="s">
        <v>89</v>
      </c>
      <c r="D38" t="s">
        <v>101</v>
      </c>
      <c r="E38">
        <v>308.10000000000002</v>
      </c>
      <c r="F38" s="5">
        <v>0.188</v>
      </c>
      <c r="G38" t="s">
        <v>142</v>
      </c>
    </row>
    <row r="39" spans="1:7">
      <c r="A39" t="s">
        <v>143</v>
      </c>
      <c r="B39" s="4">
        <v>45828</v>
      </c>
      <c r="C39" t="s">
        <v>90</v>
      </c>
      <c r="D39" t="s">
        <v>106</v>
      </c>
      <c r="E39">
        <v>2009.8</v>
      </c>
      <c r="F39" s="5">
        <v>0.23100000000000001</v>
      </c>
      <c r="G39" t="s">
        <v>104</v>
      </c>
    </row>
    <row r="40" spans="1:7">
      <c r="A40" t="s">
        <v>144</v>
      </c>
      <c r="B40" s="4">
        <v>45986</v>
      </c>
      <c r="C40" t="s">
        <v>88</v>
      </c>
      <c r="D40" t="s">
        <v>101</v>
      </c>
      <c r="E40">
        <v>184.8</v>
      </c>
      <c r="F40" s="5">
        <v>0.188</v>
      </c>
      <c r="G40" t="s">
        <v>104</v>
      </c>
    </row>
    <row r="41" spans="1:7">
      <c r="A41" t="s">
        <v>145</v>
      </c>
      <c r="B41" s="4">
        <v>45878</v>
      </c>
      <c r="C41" t="s">
        <v>92</v>
      </c>
      <c r="E41">
        <v>699.7</v>
      </c>
      <c r="F41" s="5">
        <v>0.223</v>
      </c>
      <c r="G41" t="s">
        <v>102</v>
      </c>
    </row>
    <row r="42" spans="1:7">
      <c r="A42" t="s">
        <v>146</v>
      </c>
      <c r="B42" s="4">
        <v>46063</v>
      </c>
      <c r="C42" t="s">
        <v>88</v>
      </c>
      <c r="D42" t="s">
        <v>101</v>
      </c>
      <c r="E42">
        <v>322.7</v>
      </c>
      <c r="F42" s="5">
        <v>0.183</v>
      </c>
      <c r="G42" t="s">
        <v>104</v>
      </c>
    </row>
    <row r="43" spans="1:7">
      <c r="A43" t="s">
        <v>147</v>
      </c>
      <c r="B43" s="4">
        <v>45994</v>
      </c>
      <c r="C43" t="s">
        <v>88</v>
      </c>
      <c r="D43" t="s">
        <v>106</v>
      </c>
      <c r="E43">
        <v>1150.9000000000001</v>
      </c>
      <c r="F43" s="5">
        <v>0.214</v>
      </c>
      <c r="G43" t="s">
        <v>104</v>
      </c>
    </row>
    <row r="44" spans="1:7">
      <c r="A44" t="s">
        <v>148</v>
      </c>
      <c r="B44" s="4" t="s">
        <v>84</v>
      </c>
      <c r="C44" t="s">
        <v>87</v>
      </c>
      <c r="D44" t="s">
        <v>106</v>
      </c>
      <c r="E44">
        <v>405.1</v>
      </c>
      <c r="F44" s="5">
        <v>0.224</v>
      </c>
      <c r="G44" t="s">
        <v>102</v>
      </c>
    </row>
    <row r="45" spans="1:7">
      <c r="A45" t="s">
        <v>149</v>
      </c>
      <c r="B45" s="4">
        <v>45831</v>
      </c>
      <c r="C45" t="s">
        <v>89</v>
      </c>
      <c r="D45" t="s">
        <v>101</v>
      </c>
      <c r="E45">
        <v>374.3</v>
      </c>
      <c r="F45" s="5">
        <v>0.185</v>
      </c>
      <c r="G45" t="s">
        <v>102</v>
      </c>
    </row>
    <row r="46" spans="1:7">
      <c r="B46" s="4">
        <v>45959</v>
      </c>
      <c r="C46" t="s">
        <v>93</v>
      </c>
      <c r="D46" t="s">
        <v>101</v>
      </c>
      <c r="E46">
        <v>140</v>
      </c>
      <c r="F46" s="5">
        <v>0.187</v>
      </c>
      <c r="G46" t="s">
        <v>142</v>
      </c>
    </row>
    <row r="47" spans="1:7">
      <c r="A47" t="s">
        <v>150</v>
      </c>
      <c r="B47" s="4">
        <v>46023</v>
      </c>
      <c r="C47" t="s">
        <v>87</v>
      </c>
      <c r="D47" t="s">
        <v>106</v>
      </c>
      <c r="E47">
        <v>1411.3</v>
      </c>
      <c r="F47" s="5">
        <v>0.22</v>
      </c>
      <c r="G47" t="s">
        <v>104</v>
      </c>
    </row>
    <row r="48" spans="1:7">
      <c r="A48" t="s">
        <v>151</v>
      </c>
      <c r="B48" s="4">
        <v>46216</v>
      </c>
      <c r="C48" t="s">
        <v>89</v>
      </c>
      <c r="D48" t="s">
        <v>106</v>
      </c>
      <c r="E48">
        <v>2025.6</v>
      </c>
      <c r="F48" s="5">
        <v>0.223</v>
      </c>
      <c r="G48" t="s">
        <v>142</v>
      </c>
    </row>
    <row r="49" spans="1:7">
      <c r="A49" t="s">
        <v>152</v>
      </c>
      <c r="B49" s="4">
        <v>45919</v>
      </c>
      <c r="C49" t="s">
        <v>90</v>
      </c>
      <c r="D49" t="s">
        <v>101</v>
      </c>
      <c r="E49">
        <v>407.1</v>
      </c>
      <c r="F49" s="5">
        <v>0.184</v>
      </c>
      <c r="G49" t="s">
        <v>102</v>
      </c>
    </row>
    <row r="50" spans="1:7">
      <c r="A50" t="s">
        <v>153</v>
      </c>
      <c r="B50" s="4">
        <v>46187</v>
      </c>
      <c r="C50" t="s">
        <v>87</v>
      </c>
      <c r="D50" t="s">
        <v>101</v>
      </c>
      <c r="F50" s="5">
        <v>0.184</v>
      </c>
      <c r="G50" t="s">
        <v>142</v>
      </c>
    </row>
    <row r="51" spans="1:7">
      <c r="B51" s="4">
        <v>46167</v>
      </c>
      <c r="C51" t="s">
        <v>87</v>
      </c>
      <c r="D51" t="s">
        <v>101</v>
      </c>
      <c r="E51">
        <v>445.4</v>
      </c>
      <c r="F51" s="5">
        <v>0.17199999999999999</v>
      </c>
      <c r="G51" t="s">
        <v>102</v>
      </c>
    </row>
    <row r="52" spans="1:7">
      <c r="A52" t="s">
        <v>154</v>
      </c>
      <c r="B52" s="4">
        <v>45766</v>
      </c>
      <c r="C52" t="s">
        <v>91</v>
      </c>
      <c r="D52" t="s">
        <v>106</v>
      </c>
      <c r="E52">
        <v>1260.0999999999999</v>
      </c>
      <c r="F52" s="5">
        <v>0.224</v>
      </c>
      <c r="G52" t="s">
        <v>102</v>
      </c>
    </row>
    <row r="53" spans="1:7">
      <c r="A53" t="s">
        <v>155</v>
      </c>
      <c r="B53" s="4">
        <v>45848</v>
      </c>
      <c r="C53" t="s">
        <v>91</v>
      </c>
      <c r="D53" t="s">
        <v>101</v>
      </c>
      <c r="E53">
        <v>625.79999999999995</v>
      </c>
      <c r="F53" s="5">
        <v>0.186</v>
      </c>
      <c r="G53" t="s">
        <v>104</v>
      </c>
    </row>
    <row r="54" spans="1:7">
      <c r="A54" t="s">
        <v>156</v>
      </c>
      <c r="B54" s="4">
        <v>45681</v>
      </c>
      <c r="C54" t="s">
        <v>88</v>
      </c>
      <c r="D54" t="s">
        <v>106</v>
      </c>
      <c r="E54">
        <v>766.1</v>
      </c>
      <c r="F54" s="5">
        <v>0.22900000000000001</v>
      </c>
      <c r="G54" t="s">
        <v>104</v>
      </c>
    </row>
    <row r="55" spans="1:7">
      <c r="A55" t="s">
        <v>157</v>
      </c>
      <c r="B55" s="4">
        <v>46143</v>
      </c>
      <c r="C55" t="s">
        <v>89</v>
      </c>
      <c r="D55" t="s">
        <v>101</v>
      </c>
      <c r="F55" s="5">
        <v>0.188</v>
      </c>
      <c r="G55" t="s">
        <v>104</v>
      </c>
    </row>
    <row r="56" spans="1:7">
      <c r="A56" t="s">
        <v>158</v>
      </c>
      <c r="B56" s="4">
        <v>46103</v>
      </c>
      <c r="C56" t="s">
        <v>87</v>
      </c>
      <c r="D56" t="s">
        <v>106</v>
      </c>
      <c r="E56">
        <v>1250.4000000000001</v>
      </c>
      <c r="F56" s="5">
        <v>0.21</v>
      </c>
    </row>
    <row r="57" spans="1:7">
      <c r="A57" t="s">
        <v>159</v>
      </c>
      <c r="B57" s="4"/>
      <c r="C57" t="s">
        <v>92</v>
      </c>
      <c r="D57" t="s">
        <v>110</v>
      </c>
      <c r="E57">
        <v>6076.6</v>
      </c>
      <c r="F57" s="5">
        <v>0.254</v>
      </c>
      <c r="G57" t="s">
        <v>142</v>
      </c>
    </row>
    <row r="58" spans="1:7">
      <c r="A58" t="s">
        <v>160</v>
      </c>
      <c r="B58" s="4">
        <v>45985</v>
      </c>
      <c r="C58" t="s">
        <v>89</v>
      </c>
      <c r="D58" t="s">
        <v>106</v>
      </c>
      <c r="F58" s="5">
        <v>0.22600000000000001</v>
      </c>
      <c r="G58" t="s">
        <v>102</v>
      </c>
    </row>
    <row r="59" spans="1:7">
      <c r="B59" s="4">
        <v>46074</v>
      </c>
      <c r="C59" t="s">
        <v>89</v>
      </c>
      <c r="D59" t="s">
        <v>101</v>
      </c>
      <c r="E59">
        <v>643.20000000000005</v>
      </c>
      <c r="F59" s="5">
        <v>0.17499999999999999</v>
      </c>
      <c r="G59" t="s">
        <v>85</v>
      </c>
    </row>
    <row r="60" spans="1:7">
      <c r="A60" t="s">
        <v>161</v>
      </c>
      <c r="B60" s="4">
        <v>45831</v>
      </c>
      <c r="C60" t="s">
        <v>91</v>
      </c>
      <c r="D60" t="s">
        <v>101</v>
      </c>
      <c r="E60">
        <v>231.8</v>
      </c>
      <c r="F60" s="5">
        <v>0.17299999999999999</v>
      </c>
      <c r="G60" t="s">
        <v>104</v>
      </c>
    </row>
    <row r="61" spans="1:7">
      <c r="A61" t="s">
        <v>162</v>
      </c>
      <c r="B61" s="4">
        <v>46027</v>
      </c>
      <c r="C61" t="s">
        <v>88</v>
      </c>
      <c r="E61">
        <v>277.2</v>
      </c>
      <c r="F61" s="5">
        <v>0.17899999999999999</v>
      </c>
      <c r="G61" t="s">
        <v>102</v>
      </c>
    </row>
    <row r="62" spans="1:7">
      <c r="A62" t="s">
        <v>163</v>
      </c>
      <c r="B62" s="4">
        <v>46176</v>
      </c>
      <c r="C62" t="s">
        <v>87</v>
      </c>
      <c r="D62" t="s">
        <v>101</v>
      </c>
      <c r="E62">
        <v>268.3</v>
      </c>
      <c r="F62" s="5">
        <v>0.183</v>
      </c>
      <c r="G62" t="s">
        <v>142</v>
      </c>
    </row>
    <row r="63" spans="1:7">
      <c r="A63" t="s">
        <v>164</v>
      </c>
      <c r="B63" s="4">
        <v>46219</v>
      </c>
      <c r="C63" t="s">
        <v>88</v>
      </c>
      <c r="D63" t="s">
        <v>101</v>
      </c>
      <c r="E63">
        <v>539</v>
      </c>
      <c r="F63" s="5"/>
      <c r="G63" t="s">
        <v>104</v>
      </c>
    </row>
    <row r="64" spans="1:7">
      <c r="A64" t="s">
        <v>103</v>
      </c>
      <c r="B64" s="4">
        <v>46085</v>
      </c>
      <c r="C64" t="s">
        <v>91</v>
      </c>
      <c r="D64" t="s">
        <v>101</v>
      </c>
      <c r="E64">
        <v>329.7</v>
      </c>
      <c r="F64" s="5">
        <v>0.17799999999999999</v>
      </c>
      <c r="G64" t="s">
        <v>104</v>
      </c>
    </row>
    <row r="65" spans="1:7">
      <c r="A65" t="s">
        <v>165</v>
      </c>
      <c r="B65" s="4">
        <v>45694</v>
      </c>
      <c r="C65" t="s">
        <v>87</v>
      </c>
      <c r="D65" t="s">
        <v>106</v>
      </c>
      <c r="E65">
        <v>1428</v>
      </c>
      <c r="F65" s="5">
        <v>0.219</v>
      </c>
      <c r="G65" t="s">
        <v>166</v>
      </c>
    </row>
    <row r="66" spans="1:7">
      <c r="A66" t="s">
        <v>167</v>
      </c>
      <c r="B66" s="4">
        <v>46007</v>
      </c>
      <c r="C66" t="s">
        <v>87</v>
      </c>
      <c r="D66" t="s">
        <v>101</v>
      </c>
      <c r="E66">
        <v>356.3</v>
      </c>
      <c r="F66" s="5">
        <v>0.186</v>
      </c>
      <c r="G66" t="s">
        <v>104</v>
      </c>
    </row>
    <row r="67" spans="1:7">
      <c r="A67" t="s">
        <v>168</v>
      </c>
      <c r="B67" s="4">
        <v>46138</v>
      </c>
      <c r="C67" t="s">
        <v>88</v>
      </c>
      <c r="D67" t="s">
        <v>106</v>
      </c>
      <c r="F67" s="5">
        <v>0.217</v>
      </c>
      <c r="G67" t="s">
        <v>104</v>
      </c>
    </row>
    <row r="68" spans="1:7">
      <c r="A68" t="s">
        <v>169</v>
      </c>
      <c r="B68" s="4">
        <v>46144</v>
      </c>
      <c r="C68" t="s">
        <v>89</v>
      </c>
      <c r="D68" t="s">
        <v>101</v>
      </c>
      <c r="E68">
        <v>205</v>
      </c>
      <c r="F68" s="5">
        <v>0.18</v>
      </c>
      <c r="G68" t="s">
        <v>104</v>
      </c>
    </row>
    <row r="69" spans="1:7">
      <c r="A69" t="s">
        <v>170</v>
      </c>
      <c r="B69" s="4">
        <v>45964</v>
      </c>
      <c r="C69" t="s">
        <v>92</v>
      </c>
      <c r="D69" t="s">
        <v>110</v>
      </c>
      <c r="E69">
        <v>6478.7</v>
      </c>
      <c r="F69" s="5">
        <v>0.25800000000000001</v>
      </c>
      <c r="G69" t="s">
        <v>104</v>
      </c>
    </row>
    <row r="70" spans="1:7">
      <c r="A70" t="s">
        <v>171</v>
      </c>
      <c r="B70" s="4">
        <v>45822</v>
      </c>
      <c r="C70" t="s">
        <v>90</v>
      </c>
      <c r="D70" t="s">
        <v>106</v>
      </c>
      <c r="E70">
        <v>2125</v>
      </c>
      <c r="F70" s="5">
        <v>0.215</v>
      </c>
      <c r="G70" t="s">
        <v>84</v>
      </c>
    </row>
    <row r="71" spans="1:7">
      <c r="A71" t="s">
        <v>172</v>
      </c>
      <c r="B71" s="4">
        <v>45952</v>
      </c>
      <c r="C71" t="s">
        <v>91</v>
      </c>
      <c r="D71" t="s">
        <v>101</v>
      </c>
      <c r="E71">
        <v>244.7</v>
      </c>
      <c r="F71" s="5">
        <v>0.17899999999999999</v>
      </c>
      <c r="G71" t="s">
        <v>104</v>
      </c>
    </row>
    <row r="72" spans="1:7">
      <c r="A72" t="s">
        <v>173</v>
      </c>
      <c r="B72" s="4">
        <v>45908</v>
      </c>
      <c r="C72" t="s">
        <v>87</v>
      </c>
      <c r="D72" t="s">
        <v>101</v>
      </c>
      <c r="F72" s="5">
        <v>0.188</v>
      </c>
      <c r="G72" t="s">
        <v>104</v>
      </c>
    </row>
    <row r="73" spans="1:7">
      <c r="A73" t="s">
        <v>174</v>
      </c>
      <c r="B73" s="4">
        <v>45960</v>
      </c>
      <c r="C73" t="s">
        <v>90</v>
      </c>
      <c r="D73" t="s">
        <v>101</v>
      </c>
      <c r="E73">
        <v>318.8</v>
      </c>
      <c r="F73" s="5">
        <v>0.184</v>
      </c>
      <c r="G73" t="s">
        <v>104</v>
      </c>
    </row>
    <row r="74" spans="1:7">
      <c r="A74" t="s">
        <v>175</v>
      </c>
      <c r="B74" s="4">
        <v>45907</v>
      </c>
      <c r="C74" t="s">
        <v>88</v>
      </c>
      <c r="D74" t="s">
        <v>101</v>
      </c>
      <c r="E74">
        <v>379.3</v>
      </c>
      <c r="F74" s="5">
        <v>0.17399999999999999</v>
      </c>
      <c r="G74" t="s">
        <v>104</v>
      </c>
    </row>
    <row r="75" spans="1:7">
      <c r="A75" t="s">
        <v>176</v>
      </c>
      <c r="B75" s="4">
        <v>46184</v>
      </c>
      <c r="C75" t="s">
        <v>88</v>
      </c>
      <c r="D75" t="s">
        <v>101</v>
      </c>
      <c r="E75">
        <v>570.9</v>
      </c>
      <c r="F75" s="5">
        <v>0.17799999999999999</v>
      </c>
      <c r="G75" t="s">
        <v>142</v>
      </c>
    </row>
    <row r="76" spans="1:7">
      <c r="A76" t="s">
        <v>177</v>
      </c>
      <c r="B76" s="4">
        <v>46229</v>
      </c>
      <c r="C76" t="s">
        <v>91</v>
      </c>
      <c r="D76" t="s">
        <v>101</v>
      </c>
      <c r="E76">
        <v>344.5</v>
      </c>
      <c r="F76" s="5">
        <v>0.184</v>
      </c>
      <c r="G76" t="s">
        <v>84</v>
      </c>
    </row>
    <row r="77" spans="1:7">
      <c r="A77" t="s">
        <v>178</v>
      </c>
      <c r="B77" s="4">
        <v>46045</v>
      </c>
      <c r="C77" t="s">
        <v>88</v>
      </c>
      <c r="D77" t="s">
        <v>101</v>
      </c>
      <c r="E77">
        <v>296.10000000000002</v>
      </c>
      <c r="F77" s="5">
        <v>0.189</v>
      </c>
    </row>
    <row r="78" spans="1:7">
      <c r="A78" t="s">
        <v>179</v>
      </c>
      <c r="B78" s="4">
        <v>45964</v>
      </c>
      <c r="C78" t="s">
        <v>92</v>
      </c>
      <c r="D78" t="s">
        <v>101</v>
      </c>
      <c r="E78">
        <v>306.89999999999998</v>
      </c>
      <c r="F78" s="5">
        <v>0.189</v>
      </c>
      <c r="G78" t="s">
        <v>142</v>
      </c>
    </row>
    <row r="79" spans="1:7">
      <c r="A79" t="s">
        <v>180</v>
      </c>
      <c r="B79" s="4">
        <v>45748</v>
      </c>
      <c r="C79" t="s">
        <v>88</v>
      </c>
      <c r="D79" t="s">
        <v>101</v>
      </c>
      <c r="E79">
        <v>459</v>
      </c>
      <c r="F79" s="5">
        <v>0.17100000000000001</v>
      </c>
      <c r="G79" t="s">
        <v>104</v>
      </c>
    </row>
    <row r="80" spans="1:7">
      <c r="A80" t="s">
        <v>181</v>
      </c>
      <c r="B80" s="4">
        <v>45770</v>
      </c>
      <c r="C80" t="s">
        <v>87</v>
      </c>
      <c r="E80">
        <v>333.2</v>
      </c>
      <c r="F80" s="5"/>
      <c r="G80" t="s">
        <v>142</v>
      </c>
    </row>
    <row r="81" spans="1:7">
      <c r="A81" t="s">
        <v>182</v>
      </c>
      <c r="B81" s="4">
        <v>46209</v>
      </c>
      <c r="C81" t="s">
        <v>91</v>
      </c>
      <c r="D81" t="s">
        <v>101</v>
      </c>
      <c r="E81">
        <v>465.1</v>
      </c>
      <c r="F81" s="5">
        <v>0.17499999999999999</v>
      </c>
      <c r="G81" t="s">
        <v>104</v>
      </c>
    </row>
    <row r="82" spans="1:7">
      <c r="A82" t="s">
        <v>183</v>
      </c>
      <c r="B82" s="4">
        <v>45950</v>
      </c>
      <c r="C82" t="s">
        <v>87</v>
      </c>
      <c r="D82" t="s">
        <v>101</v>
      </c>
      <c r="E82">
        <v>431.7</v>
      </c>
      <c r="F82" s="5">
        <v>0.18099999999999999</v>
      </c>
      <c r="G82" t="s">
        <v>104</v>
      </c>
    </row>
    <row r="83" spans="1:7">
      <c r="A83" t="s">
        <v>184</v>
      </c>
      <c r="B83" s="4">
        <v>45850</v>
      </c>
      <c r="C83" t="s">
        <v>88</v>
      </c>
      <c r="E83">
        <v>102.6</v>
      </c>
      <c r="F83" s="5">
        <v>0.184</v>
      </c>
      <c r="G83" t="s">
        <v>102</v>
      </c>
    </row>
    <row r="84" spans="1:7">
      <c r="A84" t="s">
        <v>185</v>
      </c>
      <c r="B84" s="4">
        <v>45801</v>
      </c>
      <c r="D84" t="s">
        <v>101</v>
      </c>
      <c r="E84">
        <v>396.9</v>
      </c>
      <c r="F84" s="5">
        <v>0.184</v>
      </c>
      <c r="G84" t="s">
        <v>102</v>
      </c>
    </row>
    <row r="85" spans="1:7">
      <c r="A85" t="s">
        <v>186</v>
      </c>
      <c r="B85" s="4">
        <v>45756</v>
      </c>
      <c r="C85" t="s">
        <v>91</v>
      </c>
      <c r="D85" t="s">
        <v>101</v>
      </c>
      <c r="F85" s="5">
        <v>0.184</v>
      </c>
      <c r="G85" t="s">
        <v>104</v>
      </c>
    </row>
    <row r="86" spans="1:7">
      <c r="A86" t="s">
        <v>187</v>
      </c>
      <c r="B86" s="4">
        <v>46219</v>
      </c>
      <c r="C86" t="s">
        <v>92</v>
      </c>
      <c r="D86" t="s">
        <v>110</v>
      </c>
      <c r="E86">
        <v>5684.7</v>
      </c>
      <c r="F86" s="5">
        <v>0.24299999999999999</v>
      </c>
      <c r="G86" t="s">
        <v>104</v>
      </c>
    </row>
    <row r="87" spans="1:7">
      <c r="A87" t="s">
        <v>188</v>
      </c>
      <c r="B87" s="4">
        <v>45909</v>
      </c>
      <c r="C87" t="s">
        <v>88</v>
      </c>
      <c r="D87" t="s">
        <v>101</v>
      </c>
      <c r="E87">
        <v>560.79999999999995</v>
      </c>
      <c r="F87" s="5">
        <v>0.17499999999999999</v>
      </c>
      <c r="G87" t="s">
        <v>189</v>
      </c>
    </row>
    <row r="88" spans="1:7">
      <c r="A88" t="s">
        <v>190</v>
      </c>
      <c r="B88" s="4">
        <v>45923</v>
      </c>
      <c r="C88" t="s">
        <v>87</v>
      </c>
      <c r="D88" t="s">
        <v>101</v>
      </c>
      <c r="E88">
        <v>166.7</v>
      </c>
      <c r="F88" s="5">
        <v>0.17199999999999999</v>
      </c>
      <c r="G88" t="s">
        <v>104</v>
      </c>
    </row>
    <row r="89" spans="1:7">
      <c r="A89" t="s">
        <v>191</v>
      </c>
      <c r="B89" s="4"/>
      <c r="C89" t="s">
        <v>89</v>
      </c>
      <c r="D89" t="s">
        <v>101</v>
      </c>
      <c r="E89">
        <v>212.1</v>
      </c>
      <c r="F89" s="5">
        <v>0.189</v>
      </c>
      <c r="G89" t="s">
        <v>104</v>
      </c>
    </row>
    <row r="90" spans="1:7">
      <c r="A90" t="s">
        <v>192</v>
      </c>
      <c r="B90" s="4">
        <v>46036</v>
      </c>
      <c r="C90" t="s">
        <v>87</v>
      </c>
      <c r="D90" t="s">
        <v>101</v>
      </c>
      <c r="E90">
        <v>176.2</v>
      </c>
      <c r="F90" s="5">
        <v>0.187</v>
      </c>
    </row>
    <row r="91" spans="1:7">
      <c r="A91" t="s">
        <v>193</v>
      </c>
      <c r="B91" s="4">
        <v>45930</v>
      </c>
      <c r="C91" t="s">
        <v>92</v>
      </c>
      <c r="D91" t="s">
        <v>101</v>
      </c>
      <c r="E91">
        <v>234.4</v>
      </c>
      <c r="F91" s="5">
        <v>0.17399999999999999</v>
      </c>
      <c r="G91" t="s">
        <v>104</v>
      </c>
    </row>
    <row r="92" spans="1:7">
      <c r="A92" t="s">
        <v>194</v>
      </c>
      <c r="B92" s="4">
        <v>45944</v>
      </c>
      <c r="C92" t="s">
        <v>88</v>
      </c>
      <c r="D92" t="s">
        <v>106</v>
      </c>
      <c r="E92">
        <v>977.5</v>
      </c>
      <c r="F92" s="5">
        <v>0.21099999999999999</v>
      </c>
      <c r="G92" t="s">
        <v>104</v>
      </c>
    </row>
    <row r="93" spans="1:7">
      <c r="A93" t="s">
        <v>195</v>
      </c>
      <c r="B93" s="4">
        <v>46082</v>
      </c>
      <c r="C93" t="s">
        <v>91</v>
      </c>
      <c r="E93">
        <v>3446.1</v>
      </c>
      <c r="F93" s="5">
        <v>0.252</v>
      </c>
      <c r="G93" t="s">
        <v>142</v>
      </c>
    </row>
    <row r="94" spans="1:7">
      <c r="B94" s="4">
        <v>46008</v>
      </c>
      <c r="C94" t="s">
        <v>87</v>
      </c>
      <c r="D94" t="s">
        <v>106</v>
      </c>
      <c r="E94">
        <v>1804.5</v>
      </c>
      <c r="F94" s="5">
        <v>0.217</v>
      </c>
      <c r="G94" t="s">
        <v>104</v>
      </c>
    </row>
    <row r="95" spans="1:7">
      <c r="A95" t="s">
        <v>196</v>
      </c>
      <c r="B95" s="4">
        <v>46146</v>
      </c>
      <c r="C95" t="s">
        <v>90</v>
      </c>
      <c r="D95" t="s">
        <v>101</v>
      </c>
      <c r="E95">
        <v>620.4</v>
      </c>
      <c r="F95" s="5">
        <v>0.188</v>
      </c>
      <c r="G95" t="s">
        <v>102</v>
      </c>
    </row>
    <row r="96" spans="1:7">
      <c r="A96" t="s">
        <v>197</v>
      </c>
      <c r="B96" s="4">
        <v>46001</v>
      </c>
      <c r="C96" t="s">
        <v>91</v>
      </c>
      <c r="D96" t="s">
        <v>106</v>
      </c>
      <c r="E96">
        <v>2015.9</v>
      </c>
      <c r="F96" s="5">
        <v>0.22900000000000001</v>
      </c>
      <c r="G96" t="s">
        <v>142</v>
      </c>
    </row>
    <row r="97" spans="1:7">
      <c r="A97" t="s">
        <v>198</v>
      </c>
      <c r="B97" s="4">
        <v>46091</v>
      </c>
      <c r="C97" t="s">
        <v>87</v>
      </c>
      <c r="E97">
        <v>1967.8</v>
      </c>
      <c r="F97" s="5">
        <v>0.254</v>
      </c>
      <c r="G97" t="s">
        <v>104</v>
      </c>
    </row>
    <row r="98" spans="1:7">
      <c r="A98" t="s">
        <v>199</v>
      </c>
      <c r="B98" s="4">
        <v>45698</v>
      </c>
      <c r="C98" t="s">
        <v>92</v>
      </c>
      <c r="D98" t="s">
        <v>101</v>
      </c>
      <c r="E98">
        <v>581.20000000000005</v>
      </c>
      <c r="F98" s="5"/>
      <c r="G98" t="s">
        <v>142</v>
      </c>
    </row>
    <row r="99" spans="1:7">
      <c r="A99" t="s">
        <v>200</v>
      </c>
      <c r="B99" s="4">
        <v>45998</v>
      </c>
      <c r="C99" t="s">
        <v>90</v>
      </c>
      <c r="D99" t="s">
        <v>101</v>
      </c>
      <c r="E99">
        <v>153.5</v>
      </c>
      <c r="F99" s="5">
        <v>0.17799999999999999</v>
      </c>
      <c r="G99" t="s">
        <v>104</v>
      </c>
    </row>
    <row r="100" spans="1:7">
      <c r="A100" t="s">
        <v>201</v>
      </c>
      <c r="B100" s="4">
        <v>45696</v>
      </c>
      <c r="C100" t="s">
        <v>89</v>
      </c>
      <c r="D100" t="s">
        <v>101</v>
      </c>
      <c r="E100">
        <v>167.8</v>
      </c>
      <c r="F100" s="5">
        <v>0.17799999999999999</v>
      </c>
      <c r="G100" t="s">
        <v>104</v>
      </c>
    </row>
    <row r="101" spans="1:7">
      <c r="A101" t="s">
        <v>202</v>
      </c>
      <c r="B101" s="4">
        <v>45902</v>
      </c>
      <c r="C101" t="s">
        <v>89</v>
      </c>
      <c r="E101">
        <v>1907.7</v>
      </c>
      <c r="F101" s="5">
        <v>0.26100000000000001</v>
      </c>
      <c r="G101" t="s">
        <v>104</v>
      </c>
    </row>
    <row r="102" spans="1:7">
      <c r="A102" t="s">
        <v>203</v>
      </c>
      <c r="B102" s="4">
        <v>46051</v>
      </c>
      <c r="C102" t="s">
        <v>89</v>
      </c>
      <c r="D102" t="s">
        <v>110</v>
      </c>
      <c r="F102" s="5">
        <v>0.24299999999999999</v>
      </c>
      <c r="G102" t="s">
        <v>104</v>
      </c>
    </row>
    <row r="103" spans="1:7">
      <c r="A103" t="s">
        <v>204</v>
      </c>
      <c r="B103" s="4">
        <v>45777</v>
      </c>
      <c r="C103" t="s">
        <v>87</v>
      </c>
      <c r="D103" t="s">
        <v>101</v>
      </c>
      <c r="F103" s="5">
        <v>0.18</v>
      </c>
      <c r="G103" t="s">
        <v>104</v>
      </c>
    </row>
    <row r="104" spans="1:7">
      <c r="A104" t="s">
        <v>205</v>
      </c>
      <c r="B104" s="4">
        <v>45784</v>
      </c>
      <c r="C104" t="s">
        <v>87</v>
      </c>
      <c r="D104" t="s">
        <v>101</v>
      </c>
      <c r="E104">
        <v>349.7</v>
      </c>
      <c r="F104" s="5">
        <v>0.17799999999999999</v>
      </c>
      <c r="G104" t="s">
        <v>102</v>
      </c>
    </row>
    <row r="105" spans="1:7">
      <c r="A105" t="s">
        <v>206</v>
      </c>
      <c r="B105" s="4">
        <v>46049</v>
      </c>
      <c r="C105" t="s">
        <v>88</v>
      </c>
      <c r="D105" t="s">
        <v>106</v>
      </c>
      <c r="E105">
        <v>2079.1</v>
      </c>
      <c r="F105" s="5">
        <v>0.22800000000000001</v>
      </c>
      <c r="G105" t="s">
        <v>104</v>
      </c>
    </row>
    <row r="106" spans="1:7">
      <c r="B106" s="4">
        <v>45749</v>
      </c>
      <c r="C106" t="s">
        <v>88</v>
      </c>
      <c r="D106" t="s">
        <v>101</v>
      </c>
      <c r="E106">
        <v>133.5</v>
      </c>
      <c r="F106" s="5">
        <v>0.17499999999999999</v>
      </c>
      <c r="G106" t="s">
        <v>104</v>
      </c>
    </row>
    <row r="107" spans="1:7">
      <c r="A107" t="s">
        <v>207</v>
      </c>
      <c r="B107" s="4">
        <v>46070</v>
      </c>
      <c r="C107" t="s">
        <v>87</v>
      </c>
      <c r="D107" t="s">
        <v>208</v>
      </c>
      <c r="E107">
        <v>466.9</v>
      </c>
      <c r="F107" s="5">
        <v>0.17799999999999999</v>
      </c>
      <c r="G107" t="s">
        <v>104</v>
      </c>
    </row>
    <row r="108" spans="1:7">
      <c r="A108" t="s">
        <v>209</v>
      </c>
      <c r="B108" s="4"/>
      <c r="C108" t="s">
        <v>87</v>
      </c>
      <c r="D108" t="s">
        <v>110</v>
      </c>
      <c r="E108">
        <v>3613.8</v>
      </c>
      <c r="F108" s="5">
        <v>0.25900000000000001</v>
      </c>
      <c r="G108" t="s">
        <v>142</v>
      </c>
    </row>
    <row r="109" spans="1:7">
      <c r="B109" s="4">
        <v>46214</v>
      </c>
      <c r="C109" t="s">
        <v>90</v>
      </c>
      <c r="D109" t="s">
        <v>106</v>
      </c>
      <c r="E109">
        <v>1425.9</v>
      </c>
      <c r="F109" s="5">
        <v>0.217</v>
      </c>
      <c r="G109" t="s">
        <v>104</v>
      </c>
    </row>
    <row r="110" spans="1:7">
      <c r="A110" t="s">
        <v>210</v>
      </c>
      <c r="B110" s="4">
        <v>45911</v>
      </c>
      <c r="D110" t="s">
        <v>106</v>
      </c>
      <c r="E110">
        <v>1869.4</v>
      </c>
      <c r="F110" s="5">
        <v>0.22500000000000001</v>
      </c>
      <c r="G110" t="s">
        <v>104</v>
      </c>
    </row>
    <row r="111" spans="1:7">
      <c r="A111" t="s">
        <v>211</v>
      </c>
      <c r="B111" s="4">
        <v>45747</v>
      </c>
      <c r="C111" t="s">
        <v>87</v>
      </c>
      <c r="D111" t="s">
        <v>106</v>
      </c>
      <c r="E111">
        <v>1294.0999999999999</v>
      </c>
      <c r="F111" s="5">
        <v>0.20899999999999999</v>
      </c>
      <c r="G111" t="s">
        <v>104</v>
      </c>
    </row>
    <row r="112" spans="1:7">
      <c r="A112" t="s">
        <v>212</v>
      </c>
      <c r="B112" s="4">
        <v>45703</v>
      </c>
      <c r="C112" t="s">
        <v>87</v>
      </c>
      <c r="D112" t="s">
        <v>106</v>
      </c>
      <c r="E112">
        <v>2187.8000000000002</v>
      </c>
      <c r="F112" s="5"/>
      <c r="G112" t="s">
        <v>104</v>
      </c>
    </row>
    <row r="113" spans="1:7">
      <c r="A113" t="s">
        <v>213</v>
      </c>
      <c r="B113" s="4">
        <v>45833</v>
      </c>
      <c r="C113" t="s">
        <v>87</v>
      </c>
      <c r="D113" t="s">
        <v>101</v>
      </c>
      <c r="E113">
        <v>341.3</v>
      </c>
      <c r="F113" s="5">
        <v>0.17899999999999999</v>
      </c>
      <c r="G113" t="s">
        <v>104</v>
      </c>
    </row>
    <row r="114" spans="1:7">
      <c r="A114" t="s">
        <v>214</v>
      </c>
      <c r="B114" s="4">
        <v>45662</v>
      </c>
      <c r="C114" t="s">
        <v>91</v>
      </c>
      <c r="D114" t="s">
        <v>101</v>
      </c>
      <c r="F114" s="5">
        <v>0.185</v>
      </c>
      <c r="G114" t="s">
        <v>104</v>
      </c>
    </row>
    <row r="115" spans="1:7">
      <c r="A115" t="s">
        <v>215</v>
      </c>
      <c r="B115" s="4">
        <v>46076</v>
      </c>
      <c r="C115" t="s">
        <v>87</v>
      </c>
      <c r="D115" t="s">
        <v>106</v>
      </c>
      <c r="E115">
        <v>2003.7</v>
      </c>
      <c r="F115" s="5">
        <v>0.214</v>
      </c>
      <c r="G115" t="s">
        <v>104</v>
      </c>
    </row>
    <row r="116" spans="1:7">
      <c r="A116" t="s">
        <v>216</v>
      </c>
      <c r="B116" s="4">
        <v>46230</v>
      </c>
      <c r="C116" t="s">
        <v>92</v>
      </c>
      <c r="D116" t="s">
        <v>101</v>
      </c>
      <c r="E116">
        <v>168.7</v>
      </c>
      <c r="F116" s="5">
        <v>0.17699999999999999</v>
      </c>
      <c r="G116" t="s">
        <v>102</v>
      </c>
    </row>
    <row r="117" spans="1:7">
      <c r="A117" t="s">
        <v>217</v>
      </c>
      <c r="B117" s="4">
        <v>46011</v>
      </c>
      <c r="C117" t="s">
        <v>90</v>
      </c>
      <c r="D117" t="s">
        <v>101</v>
      </c>
      <c r="E117">
        <v>311.7</v>
      </c>
      <c r="F117" s="5">
        <v>0.182</v>
      </c>
      <c r="G117" t="s">
        <v>104</v>
      </c>
    </row>
    <row r="118" spans="1:7">
      <c r="A118" t="s">
        <v>218</v>
      </c>
      <c r="B118" s="4">
        <v>45668</v>
      </c>
      <c r="C118" t="s">
        <v>89</v>
      </c>
      <c r="D118" t="s">
        <v>101</v>
      </c>
      <c r="E118">
        <v>257</v>
      </c>
      <c r="F118" s="5">
        <v>0.17199999999999999</v>
      </c>
      <c r="G118" t="s">
        <v>104</v>
      </c>
    </row>
    <row r="119" spans="1:7">
      <c r="A119" t="s">
        <v>219</v>
      </c>
      <c r="B119" s="4">
        <v>46155</v>
      </c>
      <c r="D119" t="s">
        <v>101</v>
      </c>
      <c r="E119">
        <v>424.7</v>
      </c>
      <c r="F119" s="5">
        <v>0.17100000000000001</v>
      </c>
      <c r="G119" t="s">
        <v>104</v>
      </c>
    </row>
    <row r="120" spans="1:7">
      <c r="A120" t="s">
        <v>220</v>
      </c>
      <c r="B120" s="4">
        <v>46058</v>
      </c>
      <c r="C120" t="s">
        <v>89</v>
      </c>
      <c r="D120" t="s">
        <v>101</v>
      </c>
      <c r="E120">
        <v>186.9</v>
      </c>
      <c r="F120" s="5">
        <v>0.183</v>
      </c>
      <c r="G120" t="s">
        <v>104</v>
      </c>
    </row>
    <row r="121" spans="1:7">
      <c r="A121" t="s">
        <v>221</v>
      </c>
      <c r="B121" s="4"/>
      <c r="C121" t="s">
        <v>91</v>
      </c>
      <c r="D121" t="s">
        <v>101</v>
      </c>
      <c r="E121">
        <v>211.5</v>
      </c>
      <c r="F121" s="5">
        <v>0.17499999999999999</v>
      </c>
      <c r="G121" t="s">
        <v>102</v>
      </c>
    </row>
    <row r="122" spans="1:7">
      <c r="A122" t="s">
        <v>222</v>
      </c>
      <c r="B122" s="4">
        <v>45671</v>
      </c>
      <c r="C122" t="s">
        <v>87</v>
      </c>
      <c r="D122" t="s">
        <v>101</v>
      </c>
      <c r="E122">
        <v>83.4</v>
      </c>
      <c r="F122" s="5">
        <v>0.187</v>
      </c>
      <c r="G122" t="s">
        <v>104</v>
      </c>
    </row>
    <row r="123" spans="1:7">
      <c r="A123" t="s">
        <v>223</v>
      </c>
      <c r="B123" s="4">
        <v>45998</v>
      </c>
      <c r="C123" t="s">
        <v>92</v>
      </c>
      <c r="D123" t="s">
        <v>224</v>
      </c>
      <c r="E123">
        <v>184.6</v>
      </c>
      <c r="F123" s="5">
        <v>0.17499999999999999</v>
      </c>
      <c r="G123" t="s">
        <v>104</v>
      </c>
    </row>
    <row r="124" spans="1:7">
      <c r="A124" t="s">
        <v>225</v>
      </c>
      <c r="B124" s="4">
        <v>45830</v>
      </c>
      <c r="D124" t="s">
        <v>101</v>
      </c>
      <c r="E124">
        <v>165.7</v>
      </c>
      <c r="F124" s="5">
        <v>0.189</v>
      </c>
      <c r="G124" t="s">
        <v>142</v>
      </c>
    </row>
    <row r="125" spans="1:7">
      <c r="A125" t="s">
        <v>226</v>
      </c>
      <c r="B125" s="4">
        <v>46128</v>
      </c>
      <c r="C125" t="s">
        <v>92</v>
      </c>
      <c r="D125" t="s">
        <v>101</v>
      </c>
      <c r="E125">
        <v>430.4</v>
      </c>
      <c r="F125" s="5">
        <v>0.18</v>
      </c>
      <c r="G125" t="s">
        <v>104</v>
      </c>
    </row>
    <row r="126" spans="1:7">
      <c r="A126" t="s">
        <v>227</v>
      </c>
      <c r="B126" s="4">
        <v>45823</v>
      </c>
      <c r="C126" t="s">
        <v>89</v>
      </c>
      <c r="D126" t="s">
        <v>101</v>
      </c>
      <c r="E126">
        <v>543.79999999999995</v>
      </c>
      <c r="F126" s="5">
        <v>0.184</v>
      </c>
      <c r="G126" t="s">
        <v>142</v>
      </c>
    </row>
    <row r="127" spans="1:7">
      <c r="B127" s="4">
        <v>46115</v>
      </c>
      <c r="C127" t="s">
        <v>88</v>
      </c>
      <c r="D127" t="s">
        <v>110</v>
      </c>
      <c r="E127">
        <v>3074.2</v>
      </c>
      <c r="F127" s="5">
        <v>0.25</v>
      </c>
      <c r="G127" t="s">
        <v>104</v>
      </c>
    </row>
    <row r="128" spans="1:7">
      <c r="A128" t="s">
        <v>228</v>
      </c>
      <c r="B128" s="4">
        <v>45898</v>
      </c>
      <c r="C128" t="s">
        <v>87</v>
      </c>
      <c r="D128" t="s">
        <v>101</v>
      </c>
      <c r="E128">
        <v>458.8</v>
      </c>
      <c r="F128" s="5">
        <v>0.17699999999999999</v>
      </c>
      <c r="G128" t="s">
        <v>104</v>
      </c>
    </row>
    <row r="129" spans="1:7">
      <c r="A129" t="s">
        <v>229</v>
      </c>
      <c r="B129" s="4">
        <v>46185</v>
      </c>
      <c r="D129" t="s">
        <v>110</v>
      </c>
      <c r="E129">
        <v>6150.7</v>
      </c>
      <c r="F129" s="5">
        <v>0.24199999999999999</v>
      </c>
      <c r="G129" t="s">
        <v>104</v>
      </c>
    </row>
    <row r="130" spans="1:7">
      <c r="A130" t="s">
        <v>230</v>
      </c>
      <c r="B130" s="4">
        <v>45761</v>
      </c>
      <c r="C130" t="s">
        <v>87</v>
      </c>
      <c r="D130" t="s">
        <v>101</v>
      </c>
      <c r="E130">
        <v>372.7</v>
      </c>
      <c r="F130" s="5">
        <v>0.187</v>
      </c>
    </row>
    <row r="131" spans="1:7">
      <c r="A131" t="s">
        <v>231</v>
      </c>
      <c r="B131" s="4">
        <v>46132</v>
      </c>
      <c r="C131" t="s">
        <v>92</v>
      </c>
      <c r="E131">
        <v>592.70000000000005</v>
      </c>
      <c r="F131" s="5">
        <v>0.17699999999999999</v>
      </c>
      <c r="G131" t="s">
        <v>189</v>
      </c>
    </row>
    <row r="132" spans="1:7">
      <c r="A132" t="s">
        <v>232</v>
      </c>
      <c r="B132" s="4">
        <v>45999</v>
      </c>
      <c r="C132" t="s">
        <v>87</v>
      </c>
      <c r="D132" t="s">
        <v>106</v>
      </c>
      <c r="E132">
        <v>1052</v>
      </c>
      <c r="F132" s="5"/>
      <c r="G132" t="s">
        <v>102</v>
      </c>
    </row>
    <row r="133" spans="1:7">
      <c r="A133" t="s">
        <v>233</v>
      </c>
      <c r="B133" s="4">
        <v>45899</v>
      </c>
      <c r="C133" t="s">
        <v>87</v>
      </c>
      <c r="D133" t="s">
        <v>101</v>
      </c>
      <c r="E133">
        <v>373.9</v>
      </c>
      <c r="F133" s="5">
        <v>0.183</v>
      </c>
    </row>
    <row r="134" spans="1:7">
      <c r="A134" t="s">
        <v>234</v>
      </c>
      <c r="B134" s="4">
        <v>45810</v>
      </c>
      <c r="C134" t="s">
        <v>91</v>
      </c>
      <c r="D134" t="s">
        <v>106</v>
      </c>
      <c r="E134">
        <v>1789.7</v>
      </c>
      <c r="F134" s="5"/>
      <c r="G134" t="s">
        <v>104</v>
      </c>
    </row>
    <row r="135" spans="1:7">
      <c r="A135" t="s">
        <v>235</v>
      </c>
      <c r="B135" s="4">
        <v>45901</v>
      </c>
      <c r="C135" t="s">
        <v>88</v>
      </c>
      <c r="D135" t="s">
        <v>101</v>
      </c>
      <c r="E135">
        <v>181.1</v>
      </c>
      <c r="F135" s="5">
        <v>0.17599999999999999</v>
      </c>
      <c r="G135" t="s">
        <v>104</v>
      </c>
    </row>
    <row r="136" spans="1:7">
      <c r="B136" s="4">
        <v>45934</v>
      </c>
      <c r="C136" t="s">
        <v>89</v>
      </c>
      <c r="E136">
        <v>4843.1000000000004</v>
      </c>
      <c r="F136" s="5">
        <v>0.253</v>
      </c>
      <c r="G136" t="s">
        <v>104</v>
      </c>
    </row>
    <row r="137" spans="1:7">
      <c r="A137" t="s">
        <v>236</v>
      </c>
      <c r="B137" s="4">
        <v>45749</v>
      </c>
      <c r="C137" t="s">
        <v>88</v>
      </c>
      <c r="E137">
        <v>989.4</v>
      </c>
      <c r="F137" s="5">
        <v>0.223</v>
      </c>
      <c r="G137" t="s">
        <v>137</v>
      </c>
    </row>
    <row r="138" spans="1:7">
      <c r="A138" t="s">
        <v>237</v>
      </c>
      <c r="B138" s="4">
        <v>46081</v>
      </c>
      <c r="C138" t="s">
        <v>87</v>
      </c>
      <c r="D138" t="s">
        <v>106</v>
      </c>
      <c r="E138">
        <v>1433.7</v>
      </c>
      <c r="F138" s="5">
        <v>0.22</v>
      </c>
      <c r="G138" t="s">
        <v>104</v>
      </c>
    </row>
    <row r="139" spans="1:7">
      <c r="A139" t="s">
        <v>238</v>
      </c>
      <c r="B139" s="4">
        <v>45865</v>
      </c>
      <c r="C139" t="s">
        <v>87</v>
      </c>
      <c r="D139" t="s">
        <v>106</v>
      </c>
      <c r="F139" s="5">
        <v>0.216</v>
      </c>
      <c r="G139" t="s">
        <v>102</v>
      </c>
    </row>
    <row r="140" spans="1:7">
      <c r="A140" t="s">
        <v>239</v>
      </c>
      <c r="B140" s="4">
        <v>45959</v>
      </c>
      <c r="C140" t="s">
        <v>90</v>
      </c>
      <c r="D140" t="s">
        <v>101</v>
      </c>
      <c r="E140">
        <v>339.4</v>
      </c>
      <c r="F140" s="5">
        <v>0.186</v>
      </c>
      <c r="G140" t="s">
        <v>142</v>
      </c>
    </row>
    <row r="141" spans="1:7">
      <c r="A141" t="s">
        <v>240</v>
      </c>
      <c r="B141" s="4">
        <v>46207</v>
      </c>
      <c r="C141" t="s">
        <v>87</v>
      </c>
      <c r="D141" t="s">
        <v>110</v>
      </c>
      <c r="E141">
        <v>5808.6</v>
      </c>
      <c r="F141" s="5">
        <v>0.253</v>
      </c>
    </row>
    <row r="142" spans="1:7">
      <c r="A142" t="s">
        <v>241</v>
      </c>
      <c r="B142" s="4">
        <v>45707</v>
      </c>
      <c r="C142" t="s">
        <v>91</v>
      </c>
      <c r="D142" t="s">
        <v>101</v>
      </c>
      <c r="E142">
        <v>112.4</v>
      </c>
      <c r="F142" s="5"/>
      <c r="G142" t="s">
        <v>104</v>
      </c>
    </row>
    <row r="143" spans="1:7">
      <c r="A143" t="s">
        <v>242</v>
      </c>
      <c r="B143" s="4">
        <v>46144</v>
      </c>
      <c r="C143" t="s">
        <v>89</v>
      </c>
      <c r="D143" t="s">
        <v>101</v>
      </c>
      <c r="E143">
        <v>636.20000000000005</v>
      </c>
      <c r="F143" s="5">
        <v>0.183</v>
      </c>
      <c r="G143" t="s">
        <v>104</v>
      </c>
    </row>
    <row r="144" spans="1:7">
      <c r="A144" t="s">
        <v>163</v>
      </c>
      <c r="B144" s="4">
        <v>46176</v>
      </c>
      <c r="C144" t="s">
        <v>87</v>
      </c>
      <c r="D144" t="s">
        <v>101</v>
      </c>
      <c r="E144">
        <v>268.3</v>
      </c>
      <c r="F144" s="5">
        <v>0.183</v>
      </c>
      <c r="G144" t="s">
        <v>142</v>
      </c>
    </row>
    <row r="145" spans="1:7">
      <c r="A145" t="s">
        <v>243</v>
      </c>
      <c r="B145" s="4">
        <v>46010</v>
      </c>
      <c r="C145" t="s">
        <v>88</v>
      </c>
      <c r="D145" t="s">
        <v>101</v>
      </c>
      <c r="E145">
        <v>153.9</v>
      </c>
      <c r="F145" s="5">
        <v>0.184</v>
      </c>
      <c r="G145" t="s">
        <v>104</v>
      </c>
    </row>
    <row r="146" spans="1:7">
      <c r="A146" t="s">
        <v>244</v>
      </c>
      <c r="B146" s="4">
        <v>45950</v>
      </c>
      <c r="C146" t="s">
        <v>87</v>
      </c>
      <c r="D146" t="s">
        <v>101</v>
      </c>
      <c r="F146" s="5">
        <v>23</v>
      </c>
      <c r="G146" t="s">
        <v>104</v>
      </c>
    </row>
    <row r="147" spans="1:7">
      <c r="A147" t="s">
        <v>245</v>
      </c>
      <c r="B147" s="4">
        <v>46011</v>
      </c>
      <c r="C147" t="s">
        <v>87</v>
      </c>
      <c r="D147" t="s">
        <v>101</v>
      </c>
      <c r="E147">
        <v>133.69999999999999</v>
      </c>
      <c r="F147" s="5">
        <v>0.185</v>
      </c>
      <c r="G147" t="s">
        <v>104</v>
      </c>
    </row>
    <row r="148" spans="1:7">
      <c r="A148" t="s">
        <v>246</v>
      </c>
      <c r="B148" s="4">
        <v>45662</v>
      </c>
      <c r="C148" t="s">
        <v>88</v>
      </c>
      <c r="D148" t="s">
        <v>106</v>
      </c>
      <c r="E148">
        <v>1878.9</v>
      </c>
      <c r="F148" s="5">
        <v>0.21299999999999999</v>
      </c>
      <c r="G148" t="s">
        <v>104</v>
      </c>
    </row>
    <row r="149" spans="1:7">
      <c r="A149" t="s">
        <v>247</v>
      </c>
      <c r="B149" s="4">
        <v>45736</v>
      </c>
      <c r="C149" t="s">
        <v>87</v>
      </c>
      <c r="D149" t="s">
        <v>101</v>
      </c>
      <c r="E149">
        <v>133.4</v>
      </c>
      <c r="F149" s="5">
        <v>0.17199999999999999</v>
      </c>
      <c r="G149" t="s">
        <v>104</v>
      </c>
    </row>
    <row r="150" spans="1:7">
      <c r="A150" t="s">
        <v>248</v>
      </c>
      <c r="B150" s="4">
        <v>45899</v>
      </c>
      <c r="C150" t="s">
        <v>89</v>
      </c>
      <c r="D150" t="s">
        <v>101</v>
      </c>
      <c r="E150">
        <v>191.2</v>
      </c>
      <c r="F150" s="5">
        <v>0.17899999999999999</v>
      </c>
      <c r="G150" t="s">
        <v>104</v>
      </c>
    </row>
    <row r="151" spans="1:7">
      <c r="A151" t="s">
        <v>249</v>
      </c>
      <c r="B151" s="4">
        <v>46219</v>
      </c>
      <c r="C151" t="s">
        <v>88</v>
      </c>
      <c r="D151" t="s">
        <v>101</v>
      </c>
      <c r="E151">
        <v>387.3</v>
      </c>
      <c r="F151" s="5">
        <v>0.17100000000000001</v>
      </c>
      <c r="G151" t="s">
        <v>142</v>
      </c>
    </row>
    <row r="152" spans="1:7">
      <c r="A152" t="s">
        <v>250</v>
      </c>
      <c r="B152" s="4">
        <v>45725</v>
      </c>
      <c r="C152" t="s">
        <v>88</v>
      </c>
      <c r="D152" t="s">
        <v>106</v>
      </c>
      <c r="E152">
        <v>496.2</v>
      </c>
      <c r="F152" s="5">
        <v>0.21299999999999999</v>
      </c>
    </row>
    <row r="153" spans="1:7">
      <c r="A153" t="s">
        <v>251</v>
      </c>
      <c r="B153" s="4">
        <v>46065</v>
      </c>
      <c r="C153" t="s">
        <v>90</v>
      </c>
      <c r="D153" t="s">
        <v>101</v>
      </c>
      <c r="E153">
        <v>117.1</v>
      </c>
      <c r="F153" s="5">
        <v>0.18099999999999999</v>
      </c>
    </row>
    <row r="154" spans="1:7">
      <c r="A154" t="s">
        <v>252</v>
      </c>
      <c r="B154" s="4">
        <v>45921</v>
      </c>
      <c r="C154" t="s">
        <v>88</v>
      </c>
      <c r="D154" t="s">
        <v>101</v>
      </c>
      <c r="E154">
        <v>606</v>
      </c>
      <c r="F154" s="5">
        <v>0.187</v>
      </c>
      <c r="G154" t="s">
        <v>104</v>
      </c>
    </row>
    <row r="155" spans="1:7">
      <c r="A155" t="s">
        <v>253</v>
      </c>
      <c r="B155" s="4"/>
      <c r="C155" t="s">
        <v>87</v>
      </c>
      <c r="D155" t="s">
        <v>101</v>
      </c>
      <c r="E155">
        <v>327.2</v>
      </c>
      <c r="F155" s="5">
        <v>0.184</v>
      </c>
      <c r="G155" t="s">
        <v>142</v>
      </c>
    </row>
    <row r="156" spans="1:7">
      <c r="A156" t="s">
        <v>254</v>
      </c>
      <c r="B156" s="4">
        <v>46139</v>
      </c>
      <c r="C156" t="s">
        <v>88</v>
      </c>
      <c r="E156">
        <v>144.4</v>
      </c>
      <c r="F156" s="5">
        <v>0.18</v>
      </c>
      <c r="G156" t="s">
        <v>102</v>
      </c>
    </row>
    <row r="157" spans="1:7">
      <c r="A157" t="s">
        <v>255</v>
      </c>
      <c r="B157" s="4">
        <v>45788</v>
      </c>
      <c r="C157" t="s">
        <v>87</v>
      </c>
      <c r="D157" t="s">
        <v>101</v>
      </c>
      <c r="E157">
        <v>326</v>
      </c>
      <c r="F157" s="5">
        <v>0.17100000000000001</v>
      </c>
      <c r="G157" t="s">
        <v>102</v>
      </c>
    </row>
    <row r="158" spans="1:7">
      <c r="A158" t="s">
        <v>256</v>
      </c>
      <c r="B158" s="4">
        <v>45867</v>
      </c>
      <c r="C158" t="s">
        <v>87</v>
      </c>
      <c r="D158" t="s">
        <v>106</v>
      </c>
      <c r="E158">
        <v>1955.8</v>
      </c>
      <c r="F158" s="5">
        <v>0.21199999999999999</v>
      </c>
      <c r="G158" t="s">
        <v>104</v>
      </c>
    </row>
    <row r="159" spans="1:7">
      <c r="A159" t="s">
        <v>257</v>
      </c>
      <c r="B159" s="4">
        <v>45779</v>
      </c>
      <c r="C159" t="s">
        <v>87</v>
      </c>
      <c r="D159" t="s">
        <v>110</v>
      </c>
      <c r="F159" s="5">
        <v>0.25600000000000001</v>
      </c>
      <c r="G159" t="s">
        <v>104</v>
      </c>
    </row>
    <row r="160" spans="1:7">
      <c r="A160" t="s">
        <v>258</v>
      </c>
      <c r="B160" s="4">
        <v>46120</v>
      </c>
      <c r="C160" t="s">
        <v>90</v>
      </c>
      <c r="D160" t="s">
        <v>101</v>
      </c>
      <c r="E160">
        <v>614.70000000000005</v>
      </c>
      <c r="F160" s="5">
        <v>0.17699999999999999</v>
      </c>
      <c r="G160" t="s">
        <v>104</v>
      </c>
    </row>
    <row r="161" spans="1:7">
      <c r="A161" t="s">
        <v>259</v>
      </c>
      <c r="B161" s="4">
        <v>46025</v>
      </c>
      <c r="C161" t="s">
        <v>87</v>
      </c>
      <c r="D161" t="s">
        <v>110</v>
      </c>
      <c r="E161">
        <v>5871.2</v>
      </c>
      <c r="F161" s="5">
        <v>0.248</v>
      </c>
    </row>
    <row r="162" spans="1:7">
      <c r="A162" t="s">
        <v>260</v>
      </c>
      <c r="B162" s="4">
        <v>45843</v>
      </c>
      <c r="C162" t="s">
        <v>87</v>
      </c>
      <c r="D162" t="s">
        <v>106</v>
      </c>
      <c r="E162">
        <v>685.2</v>
      </c>
      <c r="F162" s="5">
        <v>0.22800000000000001</v>
      </c>
      <c r="G162" t="s">
        <v>142</v>
      </c>
    </row>
    <row r="163" spans="1:7">
      <c r="A163" t="s">
        <v>261</v>
      </c>
      <c r="B163" s="4">
        <v>45706</v>
      </c>
      <c r="C163" t="s">
        <v>92</v>
      </c>
      <c r="D163" t="s">
        <v>101</v>
      </c>
      <c r="E163">
        <v>434.2</v>
      </c>
      <c r="F163" s="5">
        <v>0.17599999999999999</v>
      </c>
      <c r="G163" t="s">
        <v>102</v>
      </c>
    </row>
    <row r="164" spans="1:7">
      <c r="A164" t="s">
        <v>262</v>
      </c>
      <c r="B164" s="4">
        <v>45978</v>
      </c>
      <c r="C164" t="s">
        <v>88</v>
      </c>
      <c r="D164" t="s">
        <v>101</v>
      </c>
      <c r="E164">
        <v>624.70000000000005</v>
      </c>
      <c r="F164" s="5">
        <v>0.17799999999999999</v>
      </c>
      <c r="G164" t="s">
        <v>102</v>
      </c>
    </row>
    <row r="165" spans="1:7">
      <c r="A165" t="s">
        <v>263</v>
      </c>
      <c r="B165" s="4">
        <v>45766</v>
      </c>
      <c r="C165" t="s">
        <v>91</v>
      </c>
      <c r="D165" t="s">
        <v>101</v>
      </c>
      <c r="E165">
        <v>183.7</v>
      </c>
      <c r="F165" s="5">
        <v>0.18099999999999999</v>
      </c>
      <c r="G165" t="s">
        <v>102</v>
      </c>
    </row>
    <row r="166" spans="1:7">
      <c r="A166" t="s">
        <v>264</v>
      </c>
      <c r="B166" s="4">
        <v>45687</v>
      </c>
      <c r="C166" t="s">
        <v>87</v>
      </c>
      <c r="D166" t="s">
        <v>101</v>
      </c>
      <c r="F166" s="5">
        <v>0.17899999999999999</v>
      </c>
      <c r="G166" t="s">
        <v>104</v>
      </c>
    </row>
    <row r="167" spans="1:7">
      <c r="A167" t="s">
        <v>265</v>
      </c>
      <c r="B167" s="4"/>
      <c r="C167" t="s">
        <v>87</v>
      </c>
      <c r="D167" t="s">
        <v>101</v>
      </c>
      <c r="E167">
        <v>349.4</v>
      </c>
      <c r="F167" s="5">
        <v>0.182</v>
      </c>
      <c r="G167" t="s">
        <v>104</v>
      </c>
    </row>
    <row r="168" spans="1:7">
      <c r="A168" t="s">
        <v>266</v>
      </c>
      <c r="B168" s="4">
        <v>46042</v>
      </c>
      <c r="C168" t="s">
        <v>87</v>
      </c>
      <c r="D168" t="s">
        <v>101</v>
      </c>
      <c r="E168">
        <v>570.70000000000005</v>
      </c>
      <c r="F168" s="5">
        <v>0.17799999999999999</v>
      </c>
      <c r="G168" t="s">
        <v>104</v>
      </c>
    </row>
    <row r="169" spans="1:7">
      <c r="A169" t="s">
        <v>267</v>
      </c>
      <c r="B169" s="4">
        <v>46013</v>
      </c>
      <c r="C169" t="s">
        <v>87</v>
      </c>
      <c r="D169" t="s">
        <v>101</v>
      </c>
      <c r="E169">
        <v>240</v>
      </c>
      <c r="F169" s="5">
        <v>0.18099999999999999</v>
      </c>
      <c r="G169" t="s">
        <v>142</v>
      </c>
    </row>
    <row r="170" spans="1:7">
      <c r="A170" t="s">
        <v>268</v>
      </c>
      <c r="B170" s="4">
        <v>45822</v>
      </c>
      <c r="C170" t="s">
        <v>87</v>
      </c>
      <c r="D170" t="s">
        <v>110</v>
      </c>
      <c r="E170">
        <v>6117.6</v>
      </c>
      <c r="F170" s="5">
        <v>0.24199999999999999</v>
      </c>
      <c r="G170" t="s">
        <v>104</v>
      </c>
    </row>
    <row r="171" spans="1:7">
      <c r="A171" t="s">
        <v>269</v>
      </c>
      <c r="B171" s="4">
        <v>46027</v>
      </c>
      <c r="C171" t="s">
        <v>89</v>
      </c>
      <c r="D171" t="s">
        <v>101</v>
      </c>
      <c r="E171">
        <v>141.4</v>
      </c>
      <c r="F171" s="5">
        <v>0.186</v>
      </c>
      <c r="G171" t="s">
        <v>104</v>
      </c>
    </row>
    <row r="172" spans="1:7">
      <c r="A172" t="s">
        <v>270</v>
      </c>
      <c r="B172" s="4">
        <v>46009</v>
      </c>
      <c r="C172" t="s">
        <v>87</v>
      </c>
      <c r="D172" t="s">
        <v>101</v>
      </c>
      <c r="E172">
        <v>274.7</v>
      </c>
      <c r="F172" s="5">
        <v>0.17299999999999999</v>
      </c>
      <c r="G172" t="s">
        <v>104</v>
      </c>
    </row>
    <row r="173" spans="1:7">
      <c r="A173" t="s">
        <v>271</v>
      </c>
      <c r="B173" s="4">
        <v>46016</v>
      </c>
      <c r="C173" t="s">
        <v>87</v>
      </c>
      <c r="D173" t="s">
        <v>101</v>
      </c>
      <c r="E173">
        <v>82.9</v>
      </c>
      <c r="F173" s="5"/>
      <c r="G173" t="s">
        <v>102</v>
      </c>
    </row>
    <row r="174" spans="1:7">
      <c r="A174" t="s">
        <v>272</v>
      </c>
      <c r="B174" s="4">
        <v>45717</v>
      </c>
      <c r="C174" t="s">
        <v>91</v>
      </c>
      <c r="D174" t="s">
        <v>106</v>
      </c>
      <c r="E174">
        <v>1713.4</v>
      </c>
      <c r="F174" s="5">
        <v>0.216</v>
      </c>
      <c r="G174" t="s">
        <v>104</v>
      </c>
    </row>
    <row r="175" spans="1:7">
      <c r="A175" t="s">
        <v>273</v>
      </c>
      <c r="B175" s="4">
        <v>45756</v>
      </c>
      <c r="C175" t="s">
        <v>90</v>
      </c>
      <c r="D175" t="s">
        <v>101</v>
      </c>
      <c r="E175">
        <v>81</v>
      </c>
      <c r="F175" s="5">
        <v>0.17499999999999999</v>
      </c>
    </row>
    <row r="176" spans="1:7">
      <c r="A176" t="s">
        <v>274</v>
      </c>
      <c r="B176" s="4">
        <v>46000</v>
      </c>
      <c r="C176" t="s">
        <v>92</v>
      </c>
      <c r="D176" t="s">
        <v>110</v>
      </c>
      <c r="E176">
        <v>5701.5</v>
      </c>
      <c r="F176" s="5">
        <v>0.24299999999999999</v>
      </c>
      <c r="G176" t="s">
        <v>102</v>
      </c>
    </row>
    <row r="177" spans="1:7">
      <c r="A177" t="s">
        <v>275</v>
      </c>
      <c r="B177" s="4">
        <v>45658</v>
      </c>
      <c r="C177" t="s">
        <v>91</v>
      </c>
      <c r="D177" t="s">
        <v>101</v>
      </c>
      <c r="E177">
        <v>233.7</v>
      </c>
      <c r="F177" s="5">
        <v>0.182</v>
      </c>
      <c r="G177" t="s">
        <v>104</v>
      </c>
    </row>
    <row r="178" spans="1:7">
      <c r="A178" t="s">
        <v>276</v>
      </c>
      <c r="B178" s="4">
        <v>46061</v>
      </c>
      <c r="C178" t="s">
        <v>88</v>
      </c>
      <c r="D178" t="s">
        <v>110</v>
      </c>
      <c r="E178">
        <v>6253.8</v>
      </c>
      <c r="F178" s="5">
        <v>0.26</v>
      </c>
      <c r="G178" t="s">
        <v>104</v>
      </c>
    </row>
    <row r="179" spans="1:7">
      <c r="A179" t="s">
        <v>277</v>
      </c>
      <c r="B179" s="4">
        <v>46102</v>
      </c>
      <c r="C179" t="s">
        <v>88</v>
      </c>
      <c r="D179" t="s">
        <v>106</v>
      </c>
      <c r="E179">
        <v>1920</v>
      </c>
      <c r="F179" s="5">
        <v>0.224</v>
      </c>
      <c r="G179" t="s">
        <v>104</v>
      </c>
    </row>
    <row r="180" spans="1:7">
      <c r="A180" t="s">
        <v>278</v>
      </c>
      <c r="B180" s="4">
        <v>46099</v>
      </c>
      <c r="C180" t="s">
        <v>89</v>
      </c>
      <c r="D180" t="s">
        <v>101</v>
      </c>
      <c r="E180">
        <v>243.9</v>
      </c>
      <c r="F180" s="5"/>
      <c r="G180" t="s">
        <v>104</v>
      </c>
    </row>
    <row r="181" spans="1:7">
      <c r="B181" s="4">
        <v>45733</v>
      </c>
      <c r="C181" t="s">
        <v>88</v>
      </c>
      <c r="D181" t="s">
        <v>101</v>
      </c>
      <c r="E181">
        <v>359.2</v>
      </c>
      <c r="F181" s="5">
        <v>0.17799999999999999</v>
      </c>
      <c r="G181" t="s">
        <v>104</v>
      </c>
    </row>
    <row r="182" spans="1:7">
      <c r="A182" t="s">
        <v>279</v>
      </c>
      <c r="B182" s="4">
        <v>45978</v>
      </c>
      <c r="C182" t="s">
        <v>91</v>
      </c>
      <c r="D182" t="s">
        <v>101</v>
      </c>
      <c r="E182">
        <v>96.7</v>
      </c>
      <c r="F182" s="5">
        <v>0.183</v>
      </c>
      <c r="G182" t="s">
        <v>102</v>
      </c>
    </row>
    <row r="183" spans="1:7">
      <c r="A183" t="s">
        <v>280</v>
      </c>
      <c r="B183" s="4">
        <v>45739</v>
      </c>
      <c r="C183" t="s">
        <v>89</v>
      </c>
      <c r="D183" t="s">
        <v>106</v>
      </c>
      <c r="E183">
        <v>1249.2</v>
      </c>
      <c r="F183" s="5">
        <v>0.215</v>
      </c>
      <c r="G183" t="s">
        <v>102</v>
      </c>
    </row>
    <row r="184" spans="1:7">
      <c r="A184" t="s">
        <v>216</v>
      </c>
      <c r="B184" s="4">
        <v>46230</v>
      </c>
      <c r="C184" t="s">
        <v>92</v>
      </c>
      <c r="D184" t="s">
        <v>101</v>
      </c>
      <c r="E184">
        <v>168.7</v>
      </c>
      <c r="F184" s="5">
        <v>0.17699999999999999</v>
      </c>
      <c r="G184" t="s">
        <v>102</v>
      </c>
    </row>
    <row r="185" spans="1:7">
      <c r="A185" t="s">
        <v>281</v>
      </c>
      <c r="B185" s="4">
        <v>45716</v>
      </c>
      <c r="C185" t="s">
        <v>88</v>
      </c>
      <c r="D185" t="s">
        <v>106</v>
      </c>
      <c r="E185">
        <v>1065.7</v>
      </c>
      <c r="F185" s="5">
        <v>0.23100000000000001</v>
      </c>
      <c r="G185" t="s">
        <v>142</v>
      </c>
    </row>
    <row r="186" spans="1:7">
      <c r="A186" t="s">
        <v>282</v>
      </c>
      <c r="B186" s="4">
        <v>45826</v>
      </c>
      <c r="C186" t="s">
        <v>91</v>
      </c>
      <c r="D186" t="s">
        <v>101</v>
      </c>
      <c r="E186">
        <v>213.3</v>
      </c>
      <c r="F186" s="5"/>
      <c r="G186" t="s">
        <v>104</v>
      </c>
    </row>
    <row r="187" spans="1:7">
      <c r="A187" t="s">
        <v>283</v>
      </c>
      <c r="B187" s="4">
        <v>45693</v>
      </c>
      <c r="C187" t="s">
        <v>87</v>
      </c>
      <c r="D187" t="s">
        <v>101</v>
      </c>
      <c r="E187">
        <v>484.9</v>
      </c>
      <c r="F187" s="5">
        <v>0.188</v>
      </c>
      <c r="G187" t="s">
        <v>104</v>
      </c>
    </row>
    <row r="188" spans="1:7">
      <c r="A188" t="s">
        <v>284</v>
      </c>
      <c r="B188" s="4">
        <v>46074</v>
      </c>
      <c r="C188" t="s">
        <v>90</v>
      </c>
      <c r="D188" t="s">
        <v>101</v>
      </c>
      <c r="E188">
        <v>643.4</v>
      </c>
      <c r="F188" s="5">
        <v>0.18099999999999999</v>
      </c>
      <c r="G188" t="s">
        <v>104</v>
      </c>
    </row>
    <row r="189" spans="1:7">
      <c r="A189" t="s">
        <v>285</v>
      </c>
      <c r="B189" s="4">
        <v>45759</v>
      </c>
      <c r="C189" t="s">
        <v>92</v>
      </c>
      <c r="D189" t="s">
        <v>101</v>
      </c>
      <c r="E189">
        <v>608.29999999999995</v>
      </c>
      <c r="F189" s="5"/>
      <c r="G189" t="s">
        <v>142</v>
      </c>
    </row>
    <row r="190" spans="1:7">
      <c r="A190" t="s">
        <v>286</v>
      </c>
      <c r="B190" s="4">
        <v>46106</v>
      </c>
      <c r="D190" t="s">
        <v>101</v>
      </c>
      <c r="E190">
        <v>415.9</v>
      </c>
      <c r="F190" s="5">
        <v>0.17399999999999999</v>
      </c>
      <c r="G190" t="s">
        <v>102</v>
      </c>
    </row>
    <row r="191" spans="1:7">
      <c r="A191" t="s">
        <v>287</v>
      </c>
      <c r="B191" s="4">
        <v>45855</v>
      </c>
      <c r="C191" t="s">
        <v>87</v>
      </c>
      <c r="D191" t="s">
        <v>106</v>
      </c>
      <c r="E191">
        <v>818.9</v>
      </c>
      <c r="F191" s="5">
        <v>0.21299999999999999</v>
      </c>
      <c r="G191" t="s">
        <v>104</v>
      </c>
    </row>
    <row r="192" spans="1:7">
      <c r="B192" s="4">
        <v>45960</v>
      </c>
      <c r="C192" t="s">
        <v>87</v>
      </c>
      <c r="D192" t="s">
        <v>85</v>
      </c>
      <c r="E192">
        <v>529.70000000000005</v>
      </c>
      <c r="F192" s="5">
        <v>0.186</v>
      </c>
      <c r="G192" t="s">
        <v>102</v>
      </c>
    </row>
    <row r="193" spans="1:7">
      <c r="A193" t="s">
        <v>288</v>
      </c>
      <c r="B193" s="4">
        <v>46001</v>
      </c>
      <c r="C193" t="s">
        <v>92</v>
      </c>
      <c r="D193" t="s">
        <v>101</v>
      </c>
      <c r="E193">
        <v>634.5</v>
      </c>
      <c r="F193" s="5">
        <v>0.186</v>
      </c>
      <c r="G193" t="s">
        <v>104</v>
      </c>
    </row>
    <row r="194" spans="1:7">
      <c r="A194" t="s">
        <v>289</v>
      </c>
      <c r="B194" s="4">
        <v>46045</v>
      </c>
      <c r="C194" t="s">
        <v>88</v>
      </c>
      <c r="D194" t="s">
        <v>101</v>
      </c>
      <c r="E194">
        <v>380.2</v>
      </c>
      <c r="F194" s="5">
        <v>0.18099999999999999</v>
      </c>
      <c r="G194" t="s">
        <v>104</v>
      </c>
    </row>
    <row r="195" spans="1:7">
      <c r="A195" t="s">
        <v>290</v>
      </c>
      <c r="B195" s="4">
        <v>45970</v>
      </c>
      <c r="C195" t="s">
        <v>87</v>
      </c>
      <c r="D195" t="s">
        <v>101</v>
      </c>
      <c r="E195">
        <v>635</v>
      </c>
      <c r="F195" s="5">
        <v>0.17599999999999999</v>
      </c>
    </row>
    <row r="196" spans="1:7">
      <c r="A196" t="s">
        <v>291</v>
      </c>
      <c r="B196" s="4">
        <v>45946</v>
      </c>
      <c r="C196" t="s">
        <v>87</v>
      </c>
      <c r="D196" t="s">
        <v>106</v>
      </c>
      <c r="E196">
        <v>1919.3</v>
      </c>
      <c r="F196" s="5">
        <v>0.222</v>
      </c>
      <c r="G196" t="s">
        <v>104</v>
      </c>
    </row>
    <row r="197" spans="1:7">
      <c r="A197" t="s">
        <v>292</v>
      </c>
      <c r="B197" s="4">
        <v>45799</v>
      </c>
      <c r="C197" t="s">
        <v>90</v>
      </c>
      <c r="D197" t="s">
        <v>101</v>
      </c>
      <c r="E197">
        <v>356.3</v>
      </c>
      <c r="F197" s="5">
        <v>0.188</v>
      </c>
      <c r="G197" t="s">
        <v>102</v>
      </c>
    </row>
    <row r="198" spans="1:7">
      <c r="A198" t="s">
        <v>293</v>
      </c>
      <c r="B198" s="4">
        <v>45924</v>
      </c>
      <c r="D198" t="s">
        <v>101</v>
      </c>
      <c r="E198">
        <v>217.6</v>
      </c>
      <c r="F198" s="5">
        <v>0.17799999999999999</v>
      </c>
      <c r="G198" t="s">
        <v>104</v>
      </c>
    </row>
    <row r="199" spans="1:7">
      <c r="A199" t="s">
        <v>294</v>
      </c>
      <c r="B199" s="4">
        <v>45902</v>
      </c>
      <c r="D199" t="s">
        <v>101</v>
      </c>
      <c r="E199">
        <v>100.5</v>
      </c>
      <c r="F199" s="5">
        <v>0.185</v>
      </c>
      <c r="G199" t="s">
        <v>104</v>
      </c>
    </row>
    <row r="200" spans="1:7">
      <c r="A200" t="s">
        <v>295</v>
      </c>
      <c r="B200" s="4">
        <v>45835</v>
      </c>
      <c r="C200" t="s">
        <v>90</v>
      </c>
      <c r="D200" t="s">
        <v>101</v>
      </c>
      <c r="E200">
        <v>444.8</v>
      </c>
      <c r="F200" s="5">
        <v>0.187</v>
      </c>
      <c r="G200" t="s">
        <v>104</v>
      </c>
    </row>
    <row r="201" spans="1:7">
      <c r="A201" t="s">
        <v>296</v>
      </c>
      <c r="B201" s="4" t="s">
        <v>83</v>
      </c>
      <c r="C201" t="s">
        <v>89</v>
      </c>
      <c r="D201" t="s">
        <v>106</v>
      </c>
      <c r="E201">
        <v>995.1</v>
      </c>
      <c r="F201" s="5">
        <v>0.219</v>
      </c>
    </row>
    <row r="202" spans="1:7">
      <c r="A202" t="s">
        <v>297</v>
      </c>
      <c r="B202" s="4">
        <v>46005</v>
      </c>
      <c r="C202" t="s">
        <v>87</v>
      </c>
      <c r="D202" t="s">
        <v>101</v>
      </c>
      <c r="E202">
        <v>399.1</v>
      </c>
      <c r="F202" s="5">
        <v>0.182</v>
      </c>
      <c r="G202" t="s">
        <v>104</v>
      </c>
    </row>
    <row r="203" spans="1:7">
      <c r="A203" t="s">
        <v>298</v>
      </c>
      <c r="B203" s="4"/>
      <c r="C203" t="s">
        <v>88</v>
      </c>
      <c r="D203" t="s">
        <v>101</v>
      </c>
      <c r="E203">
        <v>563.20000000000005</v>
      </c>
      <c r="F203" s="5" t="s">
        <v>82</v>
      </c>
      <c r="G203" t="s">
        <v>104</v>
      </c>
    </row>
    <row r="204" spans="1:7">
      <c r="A204" t="s">
        <v>299</v>
      </c>
      <c r="B204" s="4">
        <v>45675</v>
      </c>
      <c r="D204" t="s">
        <v>101</v>
      </c>
      <c r="E204">
        <v>167.2</v>
      </c>
      <c r="F204" s="5">
        <v>0.186</v>
      </c>
      <c r="G204" t="s">
        <v>104</v>
      </c>
    </row>
    <row r="205" spans="1:7">
      <c r="A205" t="s">
        <v>300</v>
      </c>
      <c r="B205" s="4">
        <v>45979</v>
      </c>
      <c r="C205" t="s">
        <v>88</v>
      </c>
      <c r="D205" t="s">
        <v>101</v>
      </c>
      <c r="E205">
        <v>185.5</v>
      </c>
      <c r="F205" s="5">
        <v>0.183</v>
      </c>
      <c r="G205" t="s">
        <v>104</v>
      </c>
    </row>
    <row r="206" spans="1:7">
      <c r="B206" s="4">
        <v>45924</v>
      </c>
      <c r="C206" t="s">
        <v>91</v>
      </c>
      <c r="D206" t="s">
        <v>106</v>
      </c>
      <c r="E206">
        <v>926</v>
      </c>
      <c r="F206" s="5">
        <v>0.22800000000000001</v>
      </c>
      <c r="G206" t="s">
        <v>104</v>
      </c>
    </row>
    <row r="207" spans="1:7">
      <c r="A207" t="s">
        <v>301</v>
      </c>
      <c r="B207" s="4">
        <v>45896</v>
      </c>
      <c r="C207" t="s">
        <v>92</v>
      </c>
      <c r="D207" t="s">
        <v>101</v>
      </c>
      <c r="E207">
        <v>136</v>
      </c>
      <c r="F207" s="5">
        <v>0.184</v>
      </c>
    </row>
    <row r="208" spans="1:7">
      <c r="A208" t="s">
        <v>302</v>
      </c>
      <c r="B208" s="4"/>
      <c r="C208" t="s">
        <v>88</v>
      </c>
      <c r="D208" t="s">
        <v>106</v>
      </c>
      <c r="E208">
        <v>1472</v>
      </c>
      <c r="F208" s="5">
        <v>0.219</v>
      </c>
      <c r="G208" t="s">
        <v>104</v>
      </c>
    </row>
    <row r="209" spans="1:7">
      <c r="A209" t="s">
        <v>303</v>
      </c>
      <c r="B209" s="4"/>
      <c r="C209" t="s">
        <v>89</v>
      </c>
      <c r="D209" t="s">
        <v>101</v>
      </c>
      <c r="E209">
        <v>361.5</v>
      </c>
      <c r="F209" s="5">
        <v>0.17799999999999999</v>
      </c>
      <c r="G209" t="s">
        <v>83</v>
      </c>
    </row>
    <row r="210" spans="1:7">
      <c r="A210" t="s">
        <v>304</v>
      </c>
      <c r="B210" s="4">
        <v>45964</v>
      </c>
      <c r="C210" t="s">
        <v>87</v>
      </c>
      <c r="D210" t="s">
        <v>106</v>
      </c>
      <c r="E210">
        <v>1492.5</v>
      </c>
      <c r="F210" s="5">
        <v>0.223</v>
      </c>
      <c r="G210" t="s">
        <v>104</v>
      </c>
    </row>
    <row r="211" spans="1:7">
      <c r="A211" t="s">
        <v>305</v>
      </c>
      <c r="B211" s="4">
        <v>45871</v>
      </c>
      <c r="C211" t="s">
        <v>87</v>
      </c>
      <c r="D211" t="s">
        <v>101</v>
      </c>
      <c r="E211">
        <v>457</v>
      </c>
      <c r="F211" s="5">
        <v>0.17699999999999999</v>
      </c>
      <c r="G211" t="s">
        <v>142</v>
      </c>
    </row>
    <row r="212" spans="1:7">
      <c r="A212" t="s">
        <v>306</v>
      </c>
      <c r="B212" s="4">
        <v>46023</v>
      </c>
      <c r="C212" t="s">
        <v>90</v>
      </c>
      <c r="D212" t="s">
        <v>101</v>
      </c>
      <c r="E212">
        <v>625.5</v>
      </c>
      <c r="F212" s="5">
        <v>0.17599999999999999</v>
      </c>
      <c r="G212" t="s">
        <v>104</v>
      </c>
    </row>
    <row r="213" spans="1:7">
      <c r="A213" t="s">
        <v>307</v>
      </c>
      <c r="B213" s="4"/>
      <c r="C213" t="s">
        <v>92</v>
      </c>
      <c r="D213" t="s">
        <v>101</v>
      </c>
      <c r="E213">
        <v>282.10000000000002</v>
      </c>
      <c r="F213" s="5">
        <v>0.183</v>
      </c>
      <c r="G213" t="s">
        <v>102</v>
      </c>
    </row>
    <row r="214" spans="1:7">
      <c r="A214" t="s">
        <v>226</v>
      </c>
      <c r="B214" s="4">
        <v>46128</v>
      </c>
      <c r="C214" t="s">
        <v>92</v>
      </c>
      <c r="D214" t="s">
        <v>101</v>
      </c>
      <c r="E214">
        <v>430.4</v>
      </c>
      <c r="F214" s="5">
        <v>0.18</v>
      </c>
      <c r="G214" t="s">
        <v>104</v>
      </c>
    </row>
    <row r="215" spans="1:7">
      <c r="A215" t="s">
        <v>308</v>
      </c>
      <c r="B215" s="4">
        <v>45963</v>
      </c>
      <c r="C215" t="s">
        <v>87</v>
      </c>
      <c r="D215" t="s">
        <v>101</v>
      </c>
      <c r="E215">
        <v>579.6</v>
      </c>
      <c r="F215" s="5">
        <v>0.17100000000000001</v>
      </c>
      <c r="G215" t="s">
        <v>102</v>
      </c>
    </row>
    <row r="216" spans="1:7">
      <c r="A216" t="s">
        <v>309</v>
      </c>
      <c r="B216" s="4">
        <v>46188</v>
      </c>
      <c r="C216" t="s">
        <v>87</v>
      </c>
      <c r="D216" t="s">
        <v>101</v>
      </c>
      <c r="E216">
        <v>246.5</v>
      </c>
      <c r="F216" s="5">
        <v>0.17399999999999999</v>
      </c>
      <c r="G216" t="s">
        <v>142</v>
      </c>
    </row>
    <row r="217" spans="1:7">
      <c r="A217" t="s">
        <v>310</v>
      </c>
      <c r="B217" s="4">
        <v>46168</v>
      </c>
      <c r="C217" t="s">
        <v>87</v>
      </c>
      <c r="D217" t="s">
        <v>106</v>
      </c>
      <c r="E217">
        <v>1205.2</v>
      </c>
      <c r="F217" s="5">
        <v>0.21299999999999999</v>
      </c>
      <c r="G217" t="s">
        <v>104</v>
      </c>
    </row>
    <row r="218" spans="1:7">
      <c r="A218" t="s">
        <v>311</v>
      </c>
      <c r="B218" s="4">
        <v>46181</v>
      </c>
      <c r="D218" t="s">
        <v>101</v>
      </c>
      <c r="E218">
        <v>528.20000000000005</v>
      </c>
      <c r="F218" s="5">
        <v>0.17399999999999999</v>
      </c>
      <c r="G218" t="s">
        <v>142</v>
      </c>
    </row>
    <row r="219" spans="1:7">
      <c r="A219" t="s">
        <v>312</v>
      </c>
      <c r="B219" s="4">
        <v>45734</v>
      </c>
      <c r="C219" t="s">
        <v>91</v>
      </c>
      <c r="D219" t="s">
        <v>101</v>
      </c>
      <c r="E219">
        <v>326</v>
      </c>
      <c r="F219" s="5">
        <v>0.17499999999999999</v>
      </c>
      <c r="G219" t="s">
        <v>104</v>
      </c>
    </row>
    <row r="220" spans="1:7">
      <c r="A220" t="s">
        <v>313</v>
      </c>
      <c r="B220" s="4">
        <v>45813</v>
      </c>
      <c r="C220" t="s">
        <v>88</v>
      </c>
      <c r="D220" t="s">
        <v>106</v>
      </c>
      <c r="E220">
        <v>1036</v>
      </c>
      <c r="F220" s="5">
        <v>0.21199999999999999</v>
      </c>
      <c r="G220" t="s">
        <v>104</v>
      </c>
    </row>
    <row r="221" spans="1:7">
      <c r="A221" t="s">
        <v>314</v>
      </c>
      <c r="B221" s="4">
        <v>46065</v>
      </c>
      <c r="C221" t="s">
        <v>87</v>
      </c>
      <c r="D221" t="s">
        <v>101</v>
      </c>
      <c r="E221">
        <v>532.1</v>
      </c>
      <c r="F221" s="5">
        <v>0.18</v>
      </c>
      <c r="G221" t="s">
        <v>104</v>
      </c>
    </row>
    <row r="222" spans="1:7">
      <c r="A222" t="s">
        <v>315</v>
      </c>
      <c r="B222" s="4">
        <v>45890</v>
      </c>
      <c r="C222" t="s">
        <v>93</v>
      </c>
      <c r="D222" t="s">
        <v>101</v>
      </c>
      <c r="E222">
        <v>295.60000000000002</v>
      </c>
      <c r="F222" s="5">
        <v>0.18099999999999999</v>
      </c>
      <c r="G222" t="s">
        <v>104</v>
      </c>
    </row>
    <row r="223" spans="1:7">
      <c r="A223" t="s">
        <v>316</v>
      </c>
      <c r="B223" s="4">
        <v>45839</v>
      </c>
      <c r="C223" t="s">
        <v>90</v>
      </c>
      <c r="D223" t="s">
        <v>101</v>
      </c>
      <c r="E223">
        <v>510.9</v>
      </c>
      <c r="F223" s="5">
        <v>0.18</v>
      </c>
      <c r="G223" t="s">
        <v>102</v>
      </c>
    </row>
    <row r="224" spans="1:7">
      <c r="A224" t="s">
        <v>317</v>
      </c>
      <c r="B224" s="4">
        <v>46004</v>
      </c>
      <c r="C224" t="s">
        <v>89</v>
      </c>
      <c r="D224" t="s">
        <v>101</v>
      </c>
      <c r="E224">
        <v>188.2</v>
      </c>
      <c r="F224" s="5">
        <v>0.17799999999999999</v>
      </c>
      <c r="G224" t="s">
        <v>104</v>
      </c>
    </row>
    <row r="225" spans="1:7">
      <c r="A225" t="s">
        <v>318</v>
      </c>
      <c r="B225" s="4">
        <v>46151</v>
      </c>
      <c r="C225" t="s">
        <v>92</v>
      </c>
      <c r="D225" t="s">
        <v>106</v>
      </c>
      <c r="E225">
        <v>855.8</v>
      </c>
      <c r="F225" s="5">
        <v>0.21</v>
      </c>
      <c r="G225" t="s">
        <v>104</v>
      </c>
    </row>
    <row r="226" spans="1:7">
      <c r="A226" t="s">
        <v>319</v>
      </c>
      <c r="B226" s="4">
        <v>46124</v>
      </c>
      <c r="C226" t="s">
        <v>88</v>
      </c>
      <c r="D226" t="s">
        <v>101</v>
      </c>
      <c r="E226">
        <v>598.5</v>
      </c>
      <c r="F226" s="5">
        <v>0.183</v>
      </c>
      <c r="G226" t="s">
        <v>104</v>
      </c>
    </row>
    <row r="227" spans="1:7">
      <c r="A227" t="s">
        <v>320</v>
      </c>
      <c r="B227" s="4">
        <v>45958</v>
      </c>
      <c r="C227" t="s">
        <v>88</v>
      </c>
      <c r="D227" t="s">
        <v>101</v>
      </c>
      <c r="E227">
        <v>600.29999999999995</v>
      </c>
      <c r="F227" s="5">
        <v>0.17799999999999999</v>
      </c>
      <c r="G227" t="s">
        <v>104</v>
      </c>
    </row>
    <row r="228" spans="1:7">
      <c r="A228" t="s">
        <v>321</v>
      </c>
      <c r="B228" s="4">
        <v>46203</v>
      </c>
      <c r="D228" t="s">
        <v>101</v>
      </c>
      <c r="E228">
        <v>325.89999999999998</v>
      </c>
      <c r="F228" s="5">
        <v>0.17399999999999999</v>
      </c>
      <c r="G228" t="s">
        <v>142</v>
      </c>
    </row>
    <row r="229" spans="1:7">
      <c r="A229" t="s">
        <v>322</v>
      </c>
      <c r="B229" s="4">
        <v>45790</v>
      </c>
      <c r="C229" t="s">
        <v>87</v>
      </c>
      <c r="D229" t="s">
        <v>106</v>
      </c>
      <c r="E229">
        <v>1915.3</v>
      </c>
      <c r="F229" s="5">
        <v>0.218</v>
      </c>
      <c r="G229" t="s">
        <v>104</v>
      </c>
    </row>
    <row r="230" spans="1:7">
      <c r="A230" t="s">
        <v>220</v>
      </c>
      <c r="B230" s="4">
        <v>46058</v>
      </c>
      <c r="C230" t="s">
        <v>89</v>
      </c>
      <c r="D230" t="s">
        <v>101</v>
      </c>
      <c r="E230">
        <v>186.9</v>
      </c>
      <c r="F230" s="5">
        <v>0.183</v>
      </c>
      <c r="G230" t="s">
        <v>104</v>
      </c>
    </row>
    <row r="231" spans="1:7">
      <c r="A231" t="s">
        <v>323</v>
      </c>
      <c r="B231" s="4">
        <v>45845</v>
      </c>
      <c r="C231" t="s">
        <v>89</v>
      </c>
      <c r="D231" t="s">
        <v>106</v>
      </c>
      <c r="E231">
        <v>1307.3</v>
      </c>
      <c r="F231" s="5">
        <v>0.217</v>
      </c>
      <c r="G231" t="s">
        <v>102</v>
      </c>
    </row>
    <row r="232" spans="1:7">
      <c r="A232" t="s">
        <v>324</v>
      </c>
      <c r="B232" s="4">
        <v>46161</v>
      </c>
      <c r="C232" t="s">
        <v>88</v>
      </c>
      <c r="D232" t="s">
        <v>101</v>
      </c>
      <c r="E232">
        <v>410.9</v>
      </c>
      <c r="F232" s="5">
        <v>0.188</v>
      </c>
      <c r="G232" t="s">
        <v>104</v>
      </c>
    </row>
    <row r="233" spans="1:7">
      <c r="A233" t="s">
        <v>325</v>
      </c>
      <c r="B233" s="4">
        <v>45837</v>
      </c>
      <c r="C233" t="s">
        <v>87</v>
      </c>
      <c r="D233" t="s">
        <v>101</v>
      </c>
      <c r="E233">
        <v>162.1</v>
      </c>
      <c r="F233" s="5">
        <v>0.185</v>
      </c>
      <c r="G233" t="s">
        <v>104</v>
      </c>
    </row>
    <row r="234" spans="1:7">
      <c r="A234" t="s">
        <v>326</v>
      </c>
      <c r="B234" s="4">
        <v>46234</v>
      </c>
      <c r="C234" t="s">
        <v>87</v>
      </c>
      <c r="D234" t="s">
        <v>106</v>
      </c>
      <c r="E234">
        <v>1831.7</v>
      </c>
      <c r="F234" s="5"/>
      <c r="G234" t="s">
        <v>104</v>
      </c>
    </row>
    <row r="235" spans="1:7">
      <c r="A235" t="s">
        <v>327</v>
      </c>
      <c r="B235" s="4">
        <v>45790</v>
      </c>
      <c r="C235" t="s">
        <v>88</v>
      </c>
      <c r="D235" t="s">
        <v>101</v>
      </c>
      <c r="E235">
        <v>206.9</v>
      </c>
      <c r="F235" s="5">
        <v>0.189</v>
      </c>
      <c r="G235" t="s">
        <v>142</v>
      </c>
    </row>
    <row r="236" spans="1:7">
      <c r="A236" t="s">
        <v>328</v>
      </c>
      <c r="B236" s="4">
        <v>46105</v>
      </c>
      <c r="C236" t="s">
        <v>91</v>
      </c>
      <c r="D236" t="s">
        <v>101</v>
      </c>
      <c r="E236">
        <v>10008</v>
      </c>
      <c r="F236" s="5">
        <v>0.188</v>
      </c>
      <c r="G236" t="s">
        <v>104</v>
      </c>
    </row>
    <row r="237" spans="1:7">
      <c r="A237" t="s">
        <v>329</v>
      </c>
      <c r="B237" s="4">
        <v>45663</v>
      </c>
      <c r="C237" t="s">
        <v>88</v>
      </c>
      <c r="D237" t="s">
        <v>101</v>
      </c>
      <c r="E237">
        <v>597.9</v>
      </c>
      <c r="F237" s="5">
        <v>-10</v>
      </c>
      <c r="G237" t="s">
        <v>104</v>
      </c>
    </row>
    <row r="238" spans="1:7">
      <c r="A238" t="s">
        <v>330</v>
      </c>
      <c r="B238" s="4">
        <v>45676</v>
      </c>
      <c r="C238" t="s">
        <v>92</v>
      </c>
      <c r="D238" t="s">
        <v>101</v>
      </c>
      <c r="E238">
        <v>523.5</v>
      </c>
      <c r="F238" s="5">
        <v>0.17899999999999999</v>
      </c>
      <c r="G238" t="s">
        <v>102</v>
      </c>
    </row>
    <row r="239" spans="1:7">
      <c r="A239" t="s">
        <v>331</v>
      </c>
      <c r="B239" s="4">
        <v>45939</v>
      </c>
      <c r="C239" t="s">
        <v>88</v>
      </c>
      <c r="D239" t="s">
        <v>101</v>
      </c>
      <c r="E239">
        <v>503.1</v>
      </c>
      <c r="F239" s="5">
        <v>0.17299999999999999</v>
      </c>
      <c r="G239" t="s">
        <v>104</v>
      </c>
    </row>
    <row r="240" spans="1:7">
      <c r="A240" t="s">
        <v>332</v>
      </c>
      <c r="B240" s="4">
        <v>46104</v>
      </c>
      <c r="C240" t="s">
        <v>91</v>
      </c>
      <c r="D240" t="s">
        <v>101</v>
      </c>
      <c r="E240">
        <v>297.3</v>
      </c>
      <c r="F240" s="5">
        <v>0.186</v>
      </c>
      <c r="G240" t="s">
        <v>104</v>
      </c>
    </row>
    <row r="241" spans="1:7">
      <c r="A241" t="s">
        <v>333</v>
      </c>
      <c r="B241" s="4">
        <v>45942</v>
      </c>
      <c r="D241" t="s">
        <v>101</v>
      </c>
      <c r="E241">
        <v>199.8</v>
      </c>
      <c r="F241" s="5">
        <v>0.17199999999999999</v>
      </c>
      <c r="G241" t="s">
        <v>104</v>
      </c>
    </row>
    <row r="242" spans="1:7">
      <c r="A242" t="s">
        <v>174</v>
      </c>
      <c r="B242" s="4">
        <v>45960</v>
      </c>
      <c r="C242" t="s">
        <v>90</v>
      </c>
      <c r="D242" t="s">
        <v>101</v>
      </c>
      <c r="E242">
        <v>318.8</v>
      </c>
      <c r="F242" s="5">
        <v>0.184</v>
      </c>
      <c r="G242" t="s">
        <v>104</v>
      </c>
    </row>
    <row r="243" spans="1:7">
      <c r="A243" t="s">
        <v>334</v>
      </c>
      <c r="B243" s="4">
        <v>46017</v>
      </c>
      <c r="C243" t="s">
        <v>88</v>
      </c>
      <c r="D243" t="s">
        <v>101</v>
      </c>
      <c r="E243">
        <v>163.4</v>
      </c>
      <c r="F243" s="5">
        <v>0.17499999999999999</v>
      </c>
      <c r="G243" t="s">
        <v>102</v>
      </c>
    </row>
    <row r="244" spans="1:7">
      <c r="A244" t="s">
        <v>335</v>
      </c>
      <c r="B244" s="4">
        <v>45968</v>
      </c>
      <c r="C244" t="s">
        <v>89</v>
      </c>
      <c r="D244" t="s">
        <v>106</v>
      </c>
      <c r="E244">
        <v>1984.8</v>
      </c>
      <c r="F244" s="5">
        <v>0.22</v>
      </c>
      <c r="G244" t="s">
        <v>104</v>
      </c>
    </row>
    <row r="245" spans="1:7">
      <c r="A245" t="s">
        <v>178</v>
      </c>
      <c r="B245" s="4">
        <v>46045</v>
      </c>
      <c r="C245" t="s">
        <v>88</v>
      </c>
      <c r="D245" t="s">
        <v>101</v>
      </c>
      <c r="E245">
        <v>296.10000000000002</v>
      </c>
      <c r="F245" s="5">
        <v>0.189</v>
      </c>
      <c r="G245" t="s">
        <v>104</v>
      </c>
    </row>
    <row r="246" spans="1:7">
      <c r="A246" t="s">
        <v>336</v>
      </c>
      <c r="B246" s="4"/>
      <c r="C246" t="s">
        <v>87</v>
      </c>
      <c r="D246" t="s">
        <v>101</v>
      </c>
      <c r="E246">
        <v>263.10000000000002</v>
      </c>
      <c r="F246" s="5">
        <v>0.185</v>
      </c>
      <c r="G246" t="s">
        <v>104</v>
      </c>
    </row>
    <row r="247" spans="1:7">
      <c r="B247" s="4">
        <v>46062</v>
      </c>
      <c r="C247" t="s">
        <v>87</v>
      </c>
      <c r="D247" t="s">
        <v>101</v>
      </c>
      <c r="E247">
        <v>572</v>
      </c>
      <c r="F247" s="5">
        <v>0.17399999999999999</v>
      </c>
      <c r="G247" t="s">
        <v>104</v>
      </c>
    </row>
    <row r="248" spans="1:7">
      <c r="A248" t="s">
        <v>337</v>
      </c>
      <c r="B248" s="4">
        <v>45738</v>
      </c>
      <c r="C248" t="s">
        <v>87</v>
      </c>
      <c r="D248" t="s">
        <v>101</v>
      </c>
      <c r="E248">
        <v>589.9</v>
      </c>
      <c r="F248" s="5">
        <v>0.17499999999999999</v>
      </c>
      <c r="G248" t="s">
        <v>104</v>
      </c>
    </row>
    <row r="249" spans="1:7">
      <c r="B249" s="4">
        <v>46062</v>
      </c>
      <c r="C249" t="s">
        <v>88</v>
      </c>
      <c r="D249" t="s">
        <v>106</v>
      </c>
      <c r="E249">
        <v>1629.4</v>
      </c>
      <c r="F249" s="5">
        <v>0.21299999999999999</v>
      </c>
      <c r="G249" t="s">
        <v>142</v>
      </c>
    </row>
    <row r="250" spans="1:7">
      <c r="A250" t="s">
        <v>338</v>
      </c>
      <c r="B250" s="4"/>
      <c r="C250" t="s">
        <v>92</v>
      </c>
      <c r="D250" t="s">
        <v>106</v>
      </c>
      <c r="E250">
        <v>745.8</v>
      </c>
      <c r="F250" s="5">
        <v>0.21</v>
      </c>
      <c r="G250" t="s">
        <v>102</v>
      </c>
    </row>
    <row r="251" spans="1:7">
      <c r="A251" t="s">
        <v>339</v>
      </c>
      <c r="B251" s="4">
        <v>45901</v>
      </c>
      <c r="C251" t="s">
        <v>87</v>
      </c>
      <c r="E251">
        <v>651.29999999999995</v>
      </c>
      <c r="F251" s="5">
        <v>0.23100000000000001</v>
      </c>
      <c r="G251" t="s">
        <v>104</v>
      </c>
    </row>
    <row r="252" spans="1:7">
      <c r="A252" t="s">
        <v>340</v>
      </c>
      <c r="B252" s="4">
        <v>45675</v>
      </c>
      <c r="D252" t="s">
        <v>106</v>
      </c>
      <c r="E252">
        <v>1936.9</v>
      </c>
      <c r="F252" s="5">
        <v>0.223</v>
      </c>
      <c r="G252" t="s">
        <v>142</v>
      </c>
    </row>
    <row r="253" spans="1:7">
      <c r="A253" t="s">
        <v>341</v>
      </c>
      <c r="B253" s="4">
        <v>45963</v>
      </c>
      <c r="C253" t="s">
        <v>342</v>
      </c>
      <c r="D253" t="s">
        <v>101</v>
      </c>
      <c r="E253">
        <v>92.9</v>
      </c>
      <c r="F253" s="5">
        <v>0.17399999999999999</v>
      </c>
      <c r="G253" t="s">
        <v>104</v>
      </c>
    </row>
    <row r="254" spans="1:7">
      <c r="A254" t="s">
        <v>343</v>
      </c>
      <c r="B254" s="4" t="s">
        <v>83</v>
      </c>
      <c r="C254" t="s">
        <v>87</v>
      </c>
      <c r="D254" t="s">
        <v>106</v>
      </c>
      <c r="E254">
        <v>1200.8</v>
      </c>
      <c r="F254" s="5">
        <v>0.218</v>
      </c>
      <c r="G254" t="s">
        <v>104</v>
      </c>
    </row>
    <row r="255" spans="1:7">
      <c r="A255" t="s">
        <v>344</v>
      </c>
      <c r="B255" s="4">
        <v>45858</v>
      </c>
      <c r="C255" t="s">
        <v>87</v>
      </c>
      <c r="D255" t="s">
        <v>101</v>
      </c>
      <c r="E255">
        <v>141.1</v>
      </c>
      <c r="F255" s="5">
        <v>0.17299999999999999</v>
      </c>
      <c r="G255" t="s">
        <v>104</v>
      </c>
    </row>
    <row r="256" spans="1:7">
      <c r="A256" t="s">
        <v>345</v>
      </c>
      <c r="B256" s="4">
        <v>45721</v>
      </c>
      <c r="C256" t="s">
        <v>88</v>
      </c>
      <c r="D256" t="s">
        <v>101</v>
      </c>
      <c r="E256">
        <v>608.1</v>
      </c>
      <c r="F256" s="5">
        <v>0.17899999999999999</v>
      </c>
      <c r="G256" t="s">
        <v>104</v>
      </c>
    </row>
    <row r="257" spans="1:7">
      <c r="A257" t="s">
        <v>346</v>
      </c>
      <c r="B257" s="4">
        <v>46132</v>
      </c>
      <c r="C257" t="s">
        <v>92</v>
      </c>
      <c r="D257" t="s">
        <v>101</v>
      </c>
      <c r="E257">
        <v>597.29999999999995</v>
      </c>
      <c r="F257" s="5">
        <v>0.17399999999999999</v>
      </c>
      <c r="G257" t="s">
        <v>104</v>
      </c>
    </row>
    <row r="258" spans="1:7">
      <c r="A258" t="s">
        <v>347</v>
      </c>
      <c r="B258" s="4" t="s">
        <v>82</v>
      </c>
      <c r="C258" t="s">
        <v>89</v>
      </c>
      <c r="D258" t="s">
        <v>106</v>
      </c>
      <c r="E258">
        <v>941.9</v>
      </c>
      <c r="F258" s="5">
        <v>0.218</v>
      </c>
      <c r="G258" t="s">
        <v>104</v>
      </c>
    </row>
    <row r="259" spans="1:7">
      <c r="A259" t="s">
        <v>348</v>
      </c>
      <c r="B259" s="4">
        <v>46119</v>
      </c>
      <c r="C259" t="s">
        <v>87</v>
      </c>
      <c r="D259" t="s">
        <v>101</v>
      </c>
      <c r="E259">
        <v>592.6</v>
      </c>
      <c r="F259" s="5">
        <v>0.17399999999999999</v>
      </c>
      <c r="G259" t="s">
        <v>104</v>
      </c>
    </row>
    <row r="260" spans="1:7">
      <c r="A260" t="s">
        <v>349</v>
      </c>
      <c r="B260" s="4">
        <v>45982</v>
      </c>
      <c r="C260" t="s">
        <v>88</v>
      </c>
      <c r="D260" t="s">
        <v>101</v>
      </c>
      <c r="E260">
        <v>582.79999999999995</v>
      </c>
      <c r="F260" s="5">
        <v>0.186</v>
      </c>
    </row>
    <row r="261" spans="1:7">
      <c r="A261" t="s">
        <v>350</v>
      </c>
      <c r="B261" s="4">
        <v>45911</v>
      </c>
      <c r="C261" t="s">
        <v>89</v>
      </c>
      <c r="D261" t="s">
        <v>101</v>
      </c>
      <c r="E261">
        <v>425.8</v>
      </c>
      <c r="F261" s="5">
        <v>0.184</v>
      </c>
      <c r="G261" t="s">
        <v>102</v>
      </c>
    </row>
    <row r="262" spans="1:7">
      <c r="A262" t="s">
        <v>351</v>
      </c>
      <c r="B262" s="4">
        <v>45947</v>
      </c>
      <c r="C262" t="s">
        <v>89</v>
      </c>
      <c r="D262" t="s">
        <v>101</v>
      </c>
      <c r="E262">
        <v>171.9</v>
      </c>
      <c r="F262" s="5">
        <v>0.184</v>
      </c>
      <c r="G262" t="s">
        <v>189</v>
      </c>
    </row>
    <row r="263" spans="1:7">
      <c r="A263" t="s">
        <v>352</v>
      </c>
      <c r="B263" s="4">
        <v>45778</v>
      </c>
      <c r="C263" t="s">
        <v>88</v>
      </c>
      <c r="D263" t="s">
        <v>101</v>
      </c>
      <c r="E263">
        <v>110.3</v>
      </c>
      <c r="F263" s="5">
        <v>0.17299999999999999</v>
      </c>
      <c r="G263" t="s">
        <v>104</v>
      </c>
    </row>
    <row r="264" spans="1:7">
      <c r="A264" t="s">
        <v>353</v>
      </c>
      <c r="B264" s="4">
        <v>46203</v>
      </c>
      <c r="D264" t="s">
        <v>101</v>
      </c>
      <c r="E264">
        <v>470.3</v>
      </c>
      <c r="F264" s="5">
        <v>0.17899999999999999</v>
      </c>
      <c r="G264" t="s">
        <v>104</v>
      </c>
    </row>
    <row r="265" spans="1:7">
      <c r="A265" t="s">
        <v>354</v>
      </c>
      <c r="B265" s="4">
        <v>45987</v>
      </c>
      <c r="C265" t="s">
        <v>88</v>
      </c>
      <c r="D265" t="s">
        <v>106</v>
      </c>
      <c r="E265">
        <v>1162.3</v>
      </c>
      <c r="F265" s="5">
        <v>0.218</v>
      </c>
      <c r="G265" t="s">
        <v>104</v>
      </c>
    </row>
    <row r="266" spans="1:7">
      <c r="A266" t="s">
        <v>355</v>
      </c>
      <c r="B266" s="4">
        <v>46218</v>
      </c>
      <c r="C266" t="s">
        <v>87</v>
      </c>
      <c r="D266" t="s">
        <v>106</v>
      </c>
      <c r="E266">
        <v>1769.6</v>
      </c>
      <c r="F266" s="5">
        <v>0.22700000000000001</v>
      </c>
      <c r="G266" t="s">
        <v>104</v>
      </c>
    </row>
    <row r="267" spans="1:7">
      <c r="A267" t="s">
        <v>356</v>
      </c>
      <c r="B267" s="4">
        <v>46117</v>
      </c>
      <c r="C267" t="s">
        <v>90</v>
      </c>
      <c r="D267" t="s">
        <v>106</v>
      </c>
      <c r="E267">
        <v>1548.9</v>
      </c>
      <c r="F267" s="5">
        <v>0.21299999999999999</v>
      </c>
      <c r="G267" t="s">
        <v>142</v>
      </c>
    </row>
    <row r="268" spans="1:7">
      <c r="A268" t="s">
        <v>357</v>
      </c>
      <c r="B268" s="4">
        <v>45997</v>
      </c>
      <c r="C268" t="s">
        <v>89</v>
      </c>
      <c r="D268" t="s">
        <v>101</v>
      </c>
      <c r="E268">
        <v>247.8</v>
      </c>
      <c r="F268" s="5">
        <v>0.182</v>
      </c>
      <c r="G268" t="s">
        <v>104</v>
      </c>
    </row>
    <row r="269" spans="1:7">
      <c r="A269" t="s">
        <v>358</v>
      </c>
      <c r="B269" s="4">
        <v>46146</v>
      </c>
      <c r="C269" t="s">
        <v>90</v>
      </c>
      <c r="D269" t="s">
        <v>106</v>
      </c>
      <c r="E269">
        <v>1085.4000000000001</v>
      </c>
      <c r="F269" s="5">
        <v>0.224</v>
      </c>
      <c r="G269" t="s">
        <v>104</v>
      </c>
    </row>
    <row r="270" spans="1:7">
      <c r="A270" t="s">
        <v>276</v>
      </c>
      <c r="B270" s="4">
        <v>46061</v>
      </c>
      <c r="C270" t="s">
        <v>88</v>
      </c>
      <c r="D270" t="s">
        <v>110</v>
      </c>
      <c r="E270">
        <v>6253.8</v>
      </c>
      <c r="F270" s="5">
        <v>0.26</v>
      </c>
      <c r="G270" t="s">
        <v>104</v>
      </c>
    </row>
    <row r="271" spans="1:7">
      <c r="A271" t="s">
        <v>359</v>
      </c>
      <c r="B271" s="4">
        <v>46194</v>
      </c>
      <c r="C271" t="s">
        <v>88</v>
      </c>
      <c r="D271" t="s">
        <v>106</v>
      </c>
      <c r="E271">
        <v>537.70000000000005</v>
      </c>
      <c r="F271" s="5"/>
      <c r="G271" t="s">
        <v>104</v>
      </c>
    </row>
    <row r="272" spans="1:7">
      <c r="A272" t="s">
        <v>360</v>
      </c>
      <c r="B272" s="4">
        <v>46105</v>
      </c>
      <c r="C272" t="s">
        <v>89</v>
      </c>
      <c r="D272" t="s">
        <v>101</v>
      </c>
      <c r="E272">
        <v>535.29999999999995</v>
      </c>
      <c r="F272" s="5">
        <v>0.17499999999999999</v>
      </c>
      <c r="G272" t="s">
        <v>104</v>
      </c>
    </row>
    <row r="273" spans="1:7">
      <c r="A273" t="s">
        <v>361</v>
      </c>
      <c r="B273" s="4">
        <v>45934</v>
      </c>
      <c r="C273" t="s">
        <v>88</v>
      </c>
      <c r="D273" t="s">
        <v>106</v>
      </c>
      <c r="E273">
        <v>994.4</v>
      </c>
      <c r="F273" s="5">
        <v>0.224</v>
      </c>
      <c r="G273" t="s">
        <v>104</v>
      </c>
    </row>
    <row r="274" spans="1:7">
      <c r="A274" t="s">
        <v>362</v>
      </c>
      <c r="B274" s="4">
        <v>46006</v>
      </c>
      <c r="C274" t="s">
        <v>89</v>
      </c>
      <c r="D274" t="s">
        <v>101</v>
      </c>
      <c r="E274">
        <v>98.7</v>
      </c>
      <c r="F274" s="5">
        <v>0.18099999999999999</v>
      </c>
      <c r="G274" t="s">
        <v>102</v>
      </c>
    </row>
    <row r="275" spans="1:7">
      <c r="A275" t="s">
        <v>363</v>
      </c>
      <c r="B275" s="4">
        <v>46171</v>
      </c>
      <c r="C275" t="s">
        <v>91</v>
      </c>
      <c r="D275" t="s">
        <v>101</v>
      </c>
      <c r="E275">
        <v>178.4</v>
      </c>
      <c r="F275" s="5">
        <v>0.18</v>
      </c>
      <c r="G275" t="s">
        <v>104</v>
      </c>
    </row>
    <row r="276" spans="1:7">
      <c r="A276" t="s">
        <v>364</v>
      </c>
      <c r="B276" s="4">
        <v>45817</v>
      </c>
      <c r="C276" t="s">
        <v>87</v>
      </c>
      <c r="D276" t="s">
        <v>110</v>
      </c>
      <c r="E276">
        <v>4460.2</v>
      </c>
      <c r="F276" s="5">
        <v>0.26200000000000001</v>
      </c>
      <c r="G276" t="s">
        <v>142</v>
      </c>
    </row>
    <row r="277" spans="1:7">
      <c r="A277" t="s">
        <v>365</v>
      </c>
      <c r="B277" s="4">
        <v>45769</v>
      </c>
      <c r="C277" t="s">
        <v>87</v>
      </c>
      <c r="D277" t="s">
        <v>110</v>
      </c>
      <c r="E277">
        <v>5632.1</v>
      </c>
      <c r="F277" s="5">
        <v>0.26200000000000001</v>
      </c>
      <c r="G277" t="s">
        <v>104</v>
      </c>
    </row>
    <row r="278" spans="1:7">
      <c r="A278" t="s">
        <v>366</v>
      </c>
      <c r="B278" s="4">
        <v>45878</v>
      </c>
      <c r="C278" t="s">
        <v>91</v>
      </c>
      <c r="D278" t="s">
        <v>101</v>
      </c>
      <c r="E278">
        <v>640.70000000000005</v>
      </c>
      <c r="F278" s="5">
        <v>0.17100000000000001</v>
      </c>
      <c r="G278" t="s">
        <v>102</v>
      </c>
    </row>
    <row r="279" spans="1:7">
      <c r="A279" t="s">
        <v>367</v>
      </c>
      <c r="B279" s="4">
        <v>46131</v>
      </c>
      <c r="C279" t="s">
        <v>87</v>
      </c>
      <c r="D279" t="s">
        <v>101</v>
      </c>
      <c r="E279">
        <v>245.6</v>
      </c>
      <c r="F279" s="5">
        <v>0.183</v>
      </c>
      <c r="G279" t="s">
        <v>142</v>
      </c>
    </row>
    <row r="280" spans="1:7">
      <c r="A280" t="s">
        <v>368</v>
      </c>
      <c r="B280" s="4">
        <v>45934</v>
      </c>
      <c r="C280" t="s">
        <v>90</v>
      </c>
      <c r="D280" t="s">
        <v>101</v>
      </c>
      <c r="E280">
        <v>173.2</v>
      </c>
      <c r="F280" s="5">
        <v>0.17100000000000001</v>
      </c>
      <c r="G280" t="s">
        <v>104</v>
      </c>
    </row>
    <row r="281" spans="1:7">
      <c r="A281" t="s">
        <v>369</v>
      </c>
      <c r="B281" s="4">
        <v>45945</v>
      </c>
      <c r="C281" t="s">
        <v>88</v>
      </c>
      <c r="D281" t="s">
        <v>101</v>
      </c>
      <c r="E281">
        <v>540.5</v>
      </c>
      <c r="F281" s="5">
        <v>0.17599999999999999</v>
      </c>
      <c r="G281" t="s">
        <v>102</v>
      </c>
    </row>
    <row r="282" spans="1:7">
      <c r="A282" t="s">
        <v>370</v>
      </c>
      <c r="B282" s="4">
        <v>45854</v>
      </c>
      <c r="C282" t="s">
        <v>87</v>
      </c>
      <c r="D282" t="s">
        <v>101</v>
      </c>
      <c r="E282">
        <v>126.2</v>
      </c>
      <c r="F282" s="5">
        <v>0.182</v>
      </c>
      <c r="G282" t="s">
        <v>104</v>
      </c>
    </row>
    <row r="283" spans="1:7">
      <c r="A283" t="s">
        <v>371</v>
      </c>
      <c r="B283" s="4">
        <v>46234</v>
      </c>
      <c r="C283" t="s">
        <v>90</v>
      </c>
      <c r="D283" t="s">
        <v>101</v>
      </c>
      <c r="E283">
        <v>337.8</v>
      </c>
      <c r="F283" s="5">
        <v>0.183</v>
      </c>
    </row>
    <row r="284" spans="1:7">
      <c r="A284" t="s">
        <v>372</v>
      </c>
      <c r="B284" s="4">
        <v>45670</v>
      </c>
      <c r="C284" t="s">
        <v>90</v>
      </c>
      <c r="D284" t="s">
        <v>106</v>
      </c>
      <c r="E284">
        <v>1820.1</v>
      </c>
      <c r="F284" s="5"/>
      <c r="G284" t="s">
        <v>102</v>
      </c>
    </row>
    <row r="285" spans="1:7">
      <c r="A285" t="s">
        <v>373</v>
      </c>
      <c r="B285" s="4">
        <v>46071</v>
      </c>
      <c r="C285" t="s">
        <v>87</v>
      </c>
      <c r="D285" t="s">
        <v>106</v>
      </c>
      <c r="E285">
        <v>498.5</v>
      </c>
      <c r="F285" s="5">
        <v>0.22600000000000001</v>
      </c>
      <c r="G285" t="s">
        <v>102</v>
      </c>
    </row>
    <row r="286" spans="1:7">
      <c r="A286" t="s">
        <v>374</v>
      </c>
      <c r="B286" s="4">
        <v>45827</v>
      </c>
      <c r="C286" t="s">
        <v>87</v>
      </c>
      <c r="D286" t="s">
        <v>106</v>
      </c>
      <c r="E286">
        <v>915.9</v>
      </c>
      <c r="F286" s="5">
        <v>0.22700000000000001</v>
      </c>
      <c r="G286" t="s">
        <v>104</v>
      </c>
    </row>
    <row r="287" spans="1:7">
      <c r="A287" t="s">
        <v>375</v>
      </c>
      <c r="B287" s="4">
        <v>45934</v>
      </c>
      <c r="C287" t="s">
        <v>89</v>
      </c>
      <c r="D287" t="s">
        <v>106</v>
      </c>
      <c r="E287">
        <v>2118.5</v>
      </c>
      <c r="F287" s="5">
        <v>0.221</v>
      </c>
      <c r="G287" t="s">
        <v>104</v>
      </c>
    </row>
    <row r="288" spans="1:7">
      <c r="A288" t="s">
        <v>376</v>
      </c>
      <c r="B288" s="4">
        <v>45793</v>
      </c>
      <c r="C288" t="s">
        <v>87</v>
      </c>
      <c r="D288" t="s">
        <v>101</v>
      </c>
      <c r="E288">
        <v>401.8</v>
      </c>
      <c r="F288" s="5">
        <v>0.184</v>
      </c>
      <c r="G288" t="s">
        <v>104</v>
      </c>
    </row>
    <row r="289" spans="1:7">
      <c r="A289" t="s">
        <v>377</v>
      </c>
      <c r="B289" s="4"/>
      <c r="C289" t="s">
        <v>87</v>
      </c>
      <c r="D289" t="s">
        <v>101</v>
      </c>
      <c r="E289">
        <v>476</v>
      </c>
      <c r="F289" s="5">
        <v>0.184</v>
      </c>
      <c r="G289" t="s">
        <v>104</v>
      </c>
    </row>
    <row r="290" spans="1:7">
      <c r="A290" t="s">
        <v>378</v>
      </c>
      <c r="B290" s="4">
        <v>45699</v>
      </c>
      <c r="C290" t="s">
        <v>90</v>
      </c>
      <c r="D290" t="s">
        <v>106</v>
      </c>
      <c r="E290">
        <v>1900.5</v>
      </c>
      <c r="F290" s="5">
        <v>0.22500000000000001</v>
      </c>
      <c r="G290" t="s">
        <v>104</v>
      </c>
    </row>
    <row r="291" spans="1:7">
      <c r="A291" t="s">
        <v>379</v>
      </c>
      <c r="B291" s="4">
        <v>45750</v>
      </c>
      <c r="C291" t="s">
        <v>92</v>
      </c>
      <c r="D291" t="s">
        <v>106</v>
      </c>
      <c r="E291">
        <v>919.4</v>
      </c>
      <c r="F291" s="5"/>
      <c r="G291" t="s">
        <v>142</v>
      </c>
    </row>
    <row r="292" spans="1:7">
      <c r="A292" t="s">
        <v>380</v>
      </c>
      <c r="B292" s="4">
        <v>45699</v>
      </c>
      <c r="C292" t="s">
        <v>87</v>
      </c>
      <c r="D292" t="s">
        <v>101</v>
      </c>
      <c r="E292">
        <v>565.70000000000005</v>
      </c>
      <c r="F292" s="5"/>
      <c r="G292" t="s">
        <v>104</v>
      </c>
    </row>
    <row r="293" spans="1:7">
      <c r="A293" t="s">
        <v>381</v>
      </c>
      <c r="B293" s="4">
        <v>45695</v>
      </c>
      <c r="C293" t="s">
        <v>92</v>
      </c>
      <c r="D293" t="s">
        <v>106</v>
      </c>
      <c r="E293">
        <v>1768.6</v>
      </c>
      <c r="F293" s="5">
        <v>0.218</v>
      </c>
      <c r="G293" t="s">
        <v>102</v>
      </c>
    </row>
    <row r="294" spans="1:7">
      <c r="B294" s="4">
        <v>45923</v>
      </c>
      <c r="C294" t="s">
        <v>90</v>
      </c>
      <c r="D294" t="s">
        <v>101</v>
      </c>
      <c r="E294">
        <v>283.89999999999998</v>
      </c>
      <c r="F294" s="5">
        <v>0.184</v>
      </c>
      <c r="G294" t="s">
        <v>104</v>
      </c>
    </row>
    <row r="295" spans="1:7">
      <c r="A295" t="s">
        <v>382</v>
      </c>
      <c r="B295" s="4">
        <v>46065</v>
      </c>
      <c r="C295" t="s">
        <v>92</v>
      </c>
      <c r="D295" t="s">
        <v>106</v>
      </c>
      <c r="E295">
        <v>1782</v>
      </c>
      <c r="F295" s="5">
        <v>0.23</v>
      </c>
      <c r="G295" t="s">
        <v>137</v>
      </c>
    </row>
    <row r="296" spans="1:7">
      <c r="A296" t="s">
        <v>383</v>
      </c>
      <c r="B296" s="4">
        <v>45683</v>
      </c>
      <c r="C296" t="s">
        <v>88</v>
      </c>
      <c r="D296" t="s">
        <v>110</v>
      </c>
      <c r="E296">
        <v>1836.8</v>
      </c>
      <c r="F296" s="5">
        <v>0.25</v>
      </c>
      <c r="G296" t="s">
        <v>142</v>
      </c>
    </row>
    <row r="297" spans="1:7">
      <c r="A297" t="s">
        <v>384</v>
      </c>
      <c r="B297" s="4">
        <v>45873</v>
      </c>
      <c r="C297" t="s">
        <v>87</v>
      </c>
      <c r="D297" t="s">
        <v>101</v>
      </c>
      <c r="E297">
        <v>84.6</v>
      </c>
      <c r="F297" s="5">
        <v>0.17399999999999999</v>
      </c>
      <c r="G297" t="s">
        <v>102</v>
      </c>
    </row>
    <row r="298" spans="1:7">
      <c r="A298" t="s">
        <v>385</v>
      </c>
      <c r="B298" s="4">
        <v>45681</v>
      </c>
      <c r="C298" t="s">
        <v>87</v>
      </c>
      <c r="E298">
        <v>2073.9</v>
      </c>
      <c r="F298" s="5">
        <v>0.22</v>
      </c>
      <c r="G298" t="s">
        <v>104</v>
      </c>
    </row>
    <row r="299" spans="1:7">
      <c r="A299" t="s">
        <v>386</v>
      </c>
      <c r="B299" s="4">
        <v>46206</v>
      </c>
      <c r="C299" t="s">
        <v>90</v>
      </c>
      <c r="D299" t="s">
        <v>106</v>
      </c>
      <c r="E299">
        <v>850.9</v>
      </c>
      <c r="F299" s="5">
        <v>0.216</v>
      </c>
      <c r="G299" t="s">
        <v>104</v>
      </c>
    </row>
    <row r="300" spans="1:7">
      <c r="A300" t="s">
        <v>387</v>
      </c>
      <c r="B300" s="4">
        <v>45878</v>
      </c>
      <c r="C300" t="s">
        <v>87</v>
      </c>
      <c r="D300" t="s">
        <v>110</v>
      </c>
      <c r="E300">
        <v>6470.2</v>
      </c>
      <c r="F300" s="5">
        <v>0.26100000000000001</v>
      </c>
      <c r="G300" t="s">
        <v>104</v>
      </c>
    </row>
    <row r="301" spans="1:7">
      <c r="A301" t="s">
        <v>388</v>
      </c>
      <c r="B301" s="4">
        <v>45843</v>
      </c>
      <c r="C301" t="s">
        <v>92</v>
      </c>
      <c r="D301" t="s">
        <v>101</v>
      </c>
      <c r="E301">
        <v>104.5</v>
      </c>
      <c r="F301" s="5">
        <v>0.187</v>
      </c>
      <c r="G301" t="s">
        <v>104</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0840-84C1-4294-9481-959D25C6B3B3}">
  <dimension ref="A3:C10"/>
  <sheetViews>
    <sheetView workbookViewId="0">
      <selection activeCell="K12" sqref="K12"/>
    </sheetView>
  </sheetViews>
  <sheetFormatPr defaultRowHeight="13.8"/>
  <cols>
    <col min="1" max="1" width="13.09765625" bestFit="1" customWidth="1"/>
    <col min="2" max="2" width="17.09765625" bestFit="1" customWidth="1"/>
    <col min="3" max="3" width="20.5" bestFit="1" customWidth="1"/>
  </cols>
  <sheetData>
    <row r="3" spans="1:3">
      <c r="A3" s="8" t="s">
        <v>389</v>
      </c>
      <c r="B3" t="s">
        <v>391</v>
      </c>
      <c r="C3" t="s">
        <v>417</v>
      </c>
    </row>
    <row r="4" spans="1:3">
      <c r="A4" s="9" t="s">
        <v>90</v>
      </c>
      <c r="B4" s="7">
        <v>30969.399999999998</v>
      </c>
      <c r="C4" s="7">
        <v>6169.2560000000021</v>
      </c>
    </row>
    <row r="5" spans="1:3">
      <c r="A5" s="9" t="s">
        <v>89</v>
      </c>
      <c r="B5" s="7">
        <v>29745.599999999999</v>
      </c>
      <c r="C5" s="7">
        <v>6648.6209999999974</v>
      </c>
    </row>
    <row r="6" spans="1:3">
      <c r="A6" s="9" t="s">
        <v>92</v>
      </c>
      <c r="B6" s="7">
        <v>39842.1</v>
      </c>
      <c r="C6" s="7">
        <v>9052.0909999999985</v>
      </c>
    </row>
    <row r="7" spans="1:3">
      <c r="A7" s="9" t="s">
        <v>88</v>
      </c>
      <c r="B7" s="7">
        <v>51334.700000000004</v>
      </c>
      <c r="C7" s="7">
        <v>11401.1479</v>
      </c>
    </row>
    <row r="8" spans="1:3">
      <c r="A8" s="9" t="s">
        <v>91</v>
      </c>
      <c r="B8" s="7">
        <v>27135.000000000004</v>
      </c>
      <c r="C8" s="7">
        <v>5479.2020000000011</v>
      </c>
    </row>
    <row r="9" spans="1:3">
      <c r="A9" s="9" t="s">
        <v>87</v>
      </c>
      <c r="B9" s="7">
        <v>114749.90000000001</v>
      </c>
      <c r="C9" s="7">
        <v>27713.966000000019</v>
      </c>
    </row>
    <row r="10" spans="1:3">
      <c r="A10" s="9" t="s">
        <v>390</v>
      </c>
      <c r="B10" s="7">
        <v>293776.7</v>
      </c>
      <c r="C10" s="7">
        <v>66464.283900000024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374E-C17C-4061-AA98-348B1E191338}">
  <dimension ref="A3:C7"/>
  <sheetViews>
    <sheetView workbookViewId="0">
      <selection activeCell="D28" sqref="D28"/>
    </sheetView>
  </sheetViews>
  <sheetFormatPr defaultRowHeight="13.8"/>
  <cols>
    <col min="1" max="1" width="13.09765625" bestFit="1" customWidth="1"/>
    <col min="2" max="2" width="20.5" bestFit="1" customWidth="1"/>
    <col min="3" max="3" width="17.09765625" bestFit="1" customWidth="1"/>
  </cols>
  <sheetData>
    <row r="3" spans="1:3">
      <c r="A3" s="8" t="s">
        <v>389</v>
      </c>
      <c r="B3" t="s">
        <v>417</v>
      </c>
      <c r="C3" t="s">
        <v>391</v>
      </c>
    </row>
    <row r="4" spans="1:3">
      <c r="A4" s="9" t="s">
        <v>106</v>
      </c>
      <c r="B4" s="7">
        <v>20852.167000000005</v>
      </c>
      <c r="C4" s="7">
        <v>97104.299999999988</v>
      </c>
    </row>
    <row r="5" spans="1:3">
      <c r="A5" s="9" t="s">
        <v>110</v>
      </c>
      <c r="B5" s="7">
        <v>23465.786000000004</v>
      </c>
      <c r="C5" s="7">
        <v>93113.7</v>
      </c>
    </row>
    <row r="6" spans="1:3">
      <c r="A6" s="9" t="s">
        <v>101</v>
      </c>
      <c r="B6" s="7">
        <v>22146.330900000012</v>
      </c>
      <c r="C6" s="7">
        <v>103558.69999999995</v>
      </c>
    </row>
    <row r="7" spans="1:3">
      <c r="A7" s="9" t="s">
        <v>390</v>
      </c>
      <c r="B7" s="7">
        <v>66464.283900000024</v>
      </c>
      <c r="C7" s="7">
        <v>293776.69999999995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8A78C-F0D6-41C3-AB61-3F11C973A322}">
  <dimension ref="A3:C7"/>
  <sheetViews>
    <sheetView workbookViewId="0">
      <selection activeCell="L23" sqref="L23"/>
    </sheetView>
  </sheetViews>
  <sheetFormatPr defaultRowHeight="13.8"/>
  <cols>
    <col min="1" max="1" width="13.09765625" bestFit="1" customWidth="1"/>
    <col min="2" max="2" width="20.5" bestFit="1" customWidth="1"/>
    <col min="3" max="3" width="16.69921875" bestFit="1" customWidth="1"/>
  </cols>
  <sheetData>
    <row r="3" spans="1:3">
      <c r="A3" s="8" t="s">
        <v>389</v>
      </c>
      <c r="B3" t="s">
        <v>417</v>
      </c>
      <c r="C3" t="s">
        <v>418</v>
      </c>
    </row>
    <row r="4" spans="1:3">
      <c r="A4" s="9" t="s">
        <v>142</v>
      </c>
      <c r="B4" s="7">
        <v>9148.0199999999968</v>
      </c>
      <c r="C4" s="7">
        <v>36</v>
      </c>
    </row>
    <row r="5" spans="1:3">
      <c r="A5" s="9" t="s">
        <v>104</v>
      </c>
      <c r="B5" s="7">
        <v>44746.026900000004</v>
      </c>
      <c r="C5" s="7">
        <v>192</v>
      </c>
    </row>
    <row r="6" spans="1:3">
      <c r="A6" s="9" t="s">
        <v>102</v>
      </c>
      <c r="B6" s="7">
        <v>12570.236999999994</v>
      </c>
      <c r="C6" s="7">
        <v>72</v>
      </c>
    </row>
    <row r="7" spans="1:3">
      <c r="A7" s="9" t="s">
        <v>390</v>
      </c>
      <c r="B7" s="7">
        <v>66464.283900000039</v>
      </c>
      <c r="C7" s="7">
        <v>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AD72-E501-49F9-B1A5-3DD05ECDE4F9}">
  <dimension ref="A3:B16"/>
  <sheetViews>
    <sheetView workbookViewId="0">
      <selection activeCell="A11" sqref="A11"/>
    </sheetView>
  </sheetViews>
  <sheetFormatPr defaultRowHeight="13.8"/>
  <cols>
    <col min="1" max="1" width="13.09765625" bestFit="1" customWidth="1"/>
    <col min="2" max="2" width="17.09765625" bestFit="1" customWidth="1"/>
  </cols>
  <sheetData>
    <row r="3" spans="1:2">
      <c r="A3" s="8" t="s">
        <v>389</v>
      </c>
      <c r="B3" t="s">
        <v>391</v>
      </c>
    </row>
    <row r="4" spans="1:2">
      <c r="A4" s="19" t="s">
        <v>419</v>
      </c>
      <c r="B4" s="7">
        <v>45406.999999999993</v>
      </c>
    </row>
    <row r="5" spans="1:2">
      <c r="A5" s="19" t="s">
        <v>420</v>
      </c>
      <c r="B5" s="7">
        <v>37928.899999999994</v>
      </c>
    </row>
    <row r="6" spans="1:2">
      <c r="A6" s="19" t="s">
        <v>421</v>
      </c>
      <c r="B6" s="7">
        <v>37535.599999999991</v>
      </c>
    </row>
    <row r="7" spans="1:2">
      <c r="A7" s="19" t="s">
        <v>422</v>
      </c>
      <c r="B7" s="7">
        <v>24437.800000000007</v>
      </c>
    </row>
    <row r="8" spans="1:2">
      <c r="A8" s="19" t="s">
        <v>423</v>
      </c>
      <c r="B8" s="7">
        <v>10392.599999999999</v>
      </c>
    </row>
    <row r="9" spans="1:2">
      <c r="A9" s="19" t="s">
        <v>424</v>
      </c>
      <c r="B9" s="7">
        <v>31732.299999999996</v>
      </c>
    </row>
    <row r="10" spans="1:2">
      <c r="A10" s="19" t="s">
        <v>425</v>
      </c>
      <c r="B10" s="7">
        <v>34884.6</v>
      </c>
    </row>
    <row r="11" spans="1:2">
      <c r="A11" s="19" t="s">
        <v>426</v>
      </c>
      <c r="B11" s="7">
        <v>10526.600000000002</v>
      </c>
    </row>
    <row r="12" spans="1:2">
      <c r="A12" s="19" t="s">
        <v>427</v>
      </c>
      <c r="B12" s="7">
        <v>9953.5</v>
      </c>
    </row>
    <row r="13" spans="1:2">
      <c r="A13" s="19" t="s">
        <v>428</v>
      </c>
      <c r="B13" s="7">
        <v>17197.100000000002</v>
      </c>
    </row>
    <row r="14" spans="1:2">
      <c r="A14" s="19" t="s">
        <v>429</v>
      </c>
      <c r="B14" s="7">
        <v>17302.8</v>
      </c>
    </row>
    <row r="15" spans="1:2">
      <c r="A15" s="19" t="s">
        <v>430</v>
      </c>
      <c r="B15" s="7">
        <v>16477.900000000001</v>
      </c>
    </row>
    <row r="16" spans="1:2">
      <c r="A16" s="19" t="s">
        <v>390</v>
      </c>
      <c r="B16" s="7">
        <v>293776.7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44B1A-26A5-48E6-A328-0BC585A24716}">
  <dimension ref="A3:B10"/>
  <sheetViews>
    <sheetView workbookViewId="0">
      <selection activeCell="G30" sqref="G30"/>
    </sheetView>
  </sheetViews>
  <sheetFormatPr defaultRowHeight="13.8"/>
  <cols>
    <col min="1" max="1" width="13.09765625" bestFit="1" customWidth="1"/>
    <col min="2" max="2" width="17.09765625" bestFit="1" customWidth="1"/>
  </cols>
  <sheetData>
    <row r="3" spans="1:2">
      <c r="A3" s="8" t="s">
        <v>389</v>
      </c>
      <c r="B3" t="s">
        <v>391</v>
      </c>
    </row>
    <row r="4" spans="1:2">
      <c r="A4" s="9" t="s">
        <v>90</v>
      </c>
      <c r="B4" s="7">
        <v>30969.399999999998</v>
      </c>
    </row>
    <row r="5" spans="1:2">
      <c r="A5" s="9" t="s">
        <v>89</v>
      </c>
      <c r="B5" s="7">
        <v>29745.599999999999</v>
      </c>
    </row>
    <row r="6" spans="1:2">
      <c r="A6" s="9" t="s">
        <v>92</v>
      </c>
      <c r="B6" s="7">
        <v>39842.1</v>
      </c>
    </row>
    <row r="7" spans="1:2">
      <c r="A7" s="9" t="s">
        <v>88</v>
      </c>
      <c r="B7" s="7">
        <v>51334.700000000004</v>
      </c>
    </row>
    <row r="8" spans="1:2">
      <c r="A8" s="9" t="s">
        <v>91</v>
      </c>
      <c r="B8" s="7">
        <v>27135.000000000004</v>
      </c>
    </row>
    <row r="9" spans="1:2">
      <c r="A9" s="9" t="s">
        <v>87</v>
      </c>
      <c r="B9" s="7">
        <v>114749.90000000001</v>
      </c>
    </row>
    <row r="10" spans="1:2">
      <c r="A10" s="9" t="s">
        <v>390</v>
      </c>
      <c r="B10" s="7">
        <v>293776.7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69D9-6F0C-4D8B-B9BE-76D98741C347}">
  <dimension ref="A3:AE63"/>
  <sheetViews>
    <sheetView showGridLines="0" tabSelected="1" zoomScale="60" zoomScaleNormal="83" workbookViewId="0">
      <selection activeCell="AB18" sqref="AB18"/>
    </sheetView>
  </sheetViews>
  <sheetFormatPr defaultRowHeight="13.8"/>
  <cols>
    <col min="3" max="3" width="11.19921875" customWidth="1"/>
  </cols>
  <sheetData>
    <row r="3" spans="1:31" ht="13.8" customHeight="1">
      <c r="A3" s="26" t="s">
        <v>445</v>
      </c>
      <c r="B3" s="26"/>
      <c r="C3" s="26"/>
      <c r="D3" s="26"/>
      <c r="E3" s="26"/>
      <c r="F3" s="26"/>
      <c r="G3" s="26"/>
      <c r="H3" s="26"/>
      <c r="I3" s="26"/>
      <c r="J3" s="26"/>
      <c r="K3" s="26"/>
      <c r="L3" s="26"/>
      <c r="M3" s="26"/>
      <c r="N3" s="26"/>
      <c r="O3" s="26"/>
      <c r="P3" s="26"/>
      <c r="Q3" s="26"/>
      <c r="R3" s="26"/>
      <c r="S3" s="26"/>
      <c r="T3" s="26"/>
      <c r="U3" s="26"/>
      <c r="V3" s="26"/>
      <c r="W3" s="26"/>
      <c r="X3" s="26"/>
      <c r="Y3" s="26"/>
      <c r="Z3" s="26"/>
      <c r="AA3" s="26"/>
      <c r="AB3" s="24"/>
      <c r="AC3" s="24"/>
      <c r="AD3" s="24"/>
      <c r="AE3" s="24"/>
    </row>
    <row r="4" spans="1:31" ht="13.8" customHeight="1">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4"/>
      <c r="AC4" s="24"/>
      <c r="AD4" s="24"/>
      <c r="AE4" s="24"/>
    </row>
    <row r="5" spans="1:31" ht="13.8"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4"/>
      <c r="AC5" s="24"/>
      <c r="AD5" s="24"/>
      <c r="AE5" s="24"/>
    </row>
    <row r="6" spans="1:31" ht="14.4" customHeight="1">
      <c r="A6" s="26"/>
      <c r="B6" s="26"/>
      <c r="C6" s="26"/>
      <c r="D6" s="26"/>
      <c r="E6" s="26"/>
      <c r="F6" s="26"/>
      <c r="G6" s="26"/>
      <c r="H6" s="26"/>
      <c r="I6" s="26"/>
      <c r="J6" s="26"/>
      <c r="K6" s="26"/>
      <c r="L6" s="26"/>
      <c r="M6" s="26"/>
      <c r="N6" s="26"/>
      <c r="O6" s="26"/>
      <c r="P6" s="26"/>
      <c r="Q6" s="26"/>
      <c r="R6" s="26"/>
      <c r="S6" s="26"/>
      <c r="T6" s="26"/>
      <c r="U6" s="26"/>
      <c r="V6" s="26"/>
      <c r="W6" s="26"/>
      <c r="X6" s="26"/>
      <c r="Y6" s="26"/>
      <c r="Z6" s="26"/>
      <c r="AA6" s="26"/>
    </row>
    <row r="7" spans="1:31" ht="13.8" customHeight="1">
      <c r="A7" s="26"/>
      <c r="B7" s="26"/>
      <c r="C7" s="26"/>
      <c r="D7" s="26"/>
      <c r="E7" s="26"/>
      <c r="F7" s="26"/>
      <c r="G7" s="26"/>
      <c r="H7" s="26"/>
      <c r="I7" s="26"/>
      <c r="J7" s="26"/>
      <c r="K7" s="26"/>
      <c r="L7" s="26"/>
      <c r="M7" s="26"/>
      <c r="N7" s="26"/>
      <c r="O7" s="26"/>
      <c r="P7" s="26"/>
      <c r="Q7" s="26"/>
      <c r="R7" s="26"/>
      <c r="S7" s="26"/>
      <c r="T7" s="26"/>
      <c r="U7" s="26"/>
      <c r="V7" s="26"/>
      <c r="W7" s="26"/>
      <c r="X7" s="26"/>
      <c r="Y7" s="26"/>
      <c r="Z7" s="26"/>
      <c r="AA7" s="26"/>
    </row>
    <row r="8" spans="1:31">
      <c r="A8" s="26"/>
      <c r="B8" s="26"/>
      <c r="C8" s="26"/>
      <c r="D8" s="26"/>
      <c r="E8" s="26"/>
      <c r="F8" s="26"/>
      <c r="G8" s="26"/>
      <c r="H8" s="26"/>
      <c r="I8" s="26"/>
      <c r="J8" s="26"/>
      <c r="K8" s="26"/>
      <c r="L8" s="26"/>
      <c r="M8" s="26"/>
      <c r="N8" s="26"/>
      <c r="O8" s="26"/>
      <c r="P8" s="26"/>
      <c r="Q8" s="26"/>
      <c r="R8" s="26"/>
      <c r="S8" s="26"/>
      <c r="T8" s="26"/>
      <c r="U8" s="26"/>
      <c r="V8" s="26"/>
      <c r="W8" s="26"/>
      <c r="X8" s="26"/>
      <c r="Y8" s="26"/>
      <c r="Z8" s="26"/>
      <c r="AA8" s="26"/>
    </row>
    <row r="9" spans="1:31">
      <c r="A9" s="21" t="s">
        <v>432</v>
      </c>
      <c r="B9" s="21"/>
      <c r="C9" s="21"/>
      <c r="D9" s="22" t="s">
        <v>431</v>
      </c>
      <c r="E9" s="22"/>
      <c r="F9" s="22"/>
      <c r="G9" s="22" t="s">
        <v>416</v>
      </c>
      <c r="H9" s="22"/>
      <c r="I9" s="22"/>
      <c r="J9" s="22" t="s">
        <v>433</v>
      </c>
      <c r="K9" s="22"/>
      <c r="L9" s="22"/>
      <c r="M9" s="22" t="s">
        <v>434</v>
      </c>
      <c r="N9" s="22"/>
      <c r="O9" s="22"/>
      <c r="P9" s="22" t="s">
        <v>435</v>
      </c>
      <c r="Q9" s="22"/>
      <c r="R9" s="22"/>
      <c r="S9" s="22" t="s">
        <v>438</v>
      </c>
      <c r="T9" s="22"/>
      <c r="U9" s="22"/>
      <c r="V9" s="22" t="s">
        <v>436</v>
      </c>
      <c r="W9" s="22"/>
      <c r="X9" s="22"/>
      <c r="Y9" s="22" t="s">
        <v>437</v>
      </c>
      <c r="Z9" s="22"/>
      <c r="AA9" s="22"/>
    </row>
    <row r="10" spans="1:31">
      <c r="A10" s="20"/>
      <c r="B10" s="20"/>
      <c r="C10" s="20"/>
      <c r="D10" s="33">
        <f>GETPIVOTDATA("Units_kWh",'pivot table'!$N$33)</f>
        <v>974.80566666666766</v>
      </c>
      <c r="E10" s="33"/>
      <c r="F10" s="33"/>
      <c r="G10" s="27">
        <f>GETPIVOTDATA("Sum of Total Revenue",'pivot table'!$A$2)</f>
        <v>55653.578999999983</v>
      </c>
      <c r="H10" s="27"/>
      <c r="I10" s="27"/>
      <c r="J10" s="27">
        <f>GETPIVOTDATA("Units_kWh",'pivot table'!$N$33)</f>
        <v>974.80566666666766</v>
      </c>
      <c r="K10" s="27"/>
      <c r="L10" s="27"/>
      <c r="M10" s="28">
        <f>GETPIVOTDATA("Count of Customer_Type",'pivot table'!$B$32)</f>
        <v>300</v>
      </c>
      <c r="N10" s="28"/>
      <c r="O10" s="28"/>
      <c r="P10" s="28">
        <f>GETPIVOTDATA("Count of Customer_Type",'pivot table'!$B$32,"Payment_Status","Paid")</f>
        <v>190</v>
      </c>
      <c r="Q10" s="28"/>
      <c r="R10" s="28"/>
      <c r="S10" s="28">
        <f>GETPIVOTDATA("Count of Customer_Type",'pivot table'!$B$32,"Payment_Status","Pending")</f>
        <v>54</v>
      </c>
      <c r="T10" s="28"/>
      <c r="U10" s="28"/>
      <c r="V10" s="29">
        <f>GETPIVOTDATA("Count of Customer_Type",'pivot table'!$B$32,"Payment_Status","Paid")/GETPIVOTDATA("Count of Customer_Type",'pivot table'!$B$32)</f>
        <v>0.6333333333333333</v>
      </c>
      <c r="W10" s="29"/>
      <c r="X10" s="29"/>
      <c r="Y10" s="27">
        <f>GETPIVOTDATA("Average of Total Revenue",'pivot table'!$B$32)</f>
        <v>185.51193000000006</v>
      </c>
      <c r="Z10" s="27"/>
      <c r="AA10" s="27"/>
    </row>
    <row r="11" spans="1:31">
      <c r="A11" s="20"/>
      <c r="B11" s="20"/>
      <c r="C11" s="20"/>
      <c r="D11" s="33"/>
      <c r="E11" s="33"/>
      <c r="F11" s="33"/>
      <c r="G11" s="27"/>
      <c r="H11" s="27"/>
      <c r="I11" s="27"/>
      <c r="J11" s="27"/>
      <c r="K11" s="27"/>
      <c r="L11" s="27"/>
      <c r="M11" s="28"/>
      <c r="N11" s="28"/>
      <c r="O11" s="28"/>
      <c r="P11" s="28"/>
      <c r="Q11" s="28"/>
      <c r="R11" s="28"/>
      <c r="S11" s="28"/>
      <c r="T11" s="28"/>
      <c r="U11" s="28"/>
      <c r="V11" s="29"/>
      <c r="W11" s="29"/>
      <c r="X11" s="29"/>
      <c r="Y11" s="27"/>
      <c r="Z11" s="27"/>
      <c r="AA11" s="27"/>
    </row>
    <row r="12" spans="1:31">
      <c r="A12" s="20"/>
      <c r="B12" s="20"/>
      <c r="C12" s="20"/>
      <c r="D12" s="25" t="s">
        <v>439</v>
      </c>
      <c r="E12" s="25"/>
      <c r="F12" s="25"/>
      <c r="G12" s="25"/>
      <c r="H12" s="25"/>
      <c r="I12" s="25"/>
      <c r="J12" s="25"/>
      <c r="K12" s="25"/>
      <c r="L12" s="25"/>
      <c r="M12" s="25"/>
      <c r="N12" s="25"/>
      <c r="O12" s="25"/>
      <c r="P12" s="22" t="s">
        <v>444</v>
      </c>
      <c r="Q12" s="22"/>
      <c r="R12" s="22"/>
      <c r="S12" s="22"/>
      <c r="T12" s="22"/>
      <c r="U12" s="22"/>
      <c r="V12" s="22"/>
      <c r="W12" s="22"/>
      <c r="X12" s="22"/>
      <c r="Y12" s="22"/>
      <c r="Z12" s="22"/>
      <c r="AA12" s="22"/>
    </row>
    <row r="13" spans="1:31">
      <c r="A13" s="20"/>
      <c r="B13" s="20"/>
      <c r="C13" s="20"/>
    </row>
    <row r="14" spans="1:31">
      <c r="A14" s="20"/>
      <c r="B14" s="20"/>
      <c r="C14" s="20"/>
    </row>
    <row r="15" spans="1:31">
      <c r="A15" s="20"/>
      <c r="B15" s="20"/>
      <c r="C15" s="20"/>
    </row>
    <row r="16" spans="1:31">
      <c r="A16" s="20"/>
      <c r="B16" s="20"/>
      <c r="C16" s="20"/>
    </row>
    <row r="17" spans="1:27">
      <c r="A17" s="20"/>
      <c r="B17" s="20"/>
      <c r="C17" s="20"/>
    </row>
    <row r="18" spans="1:27">
      <c r="A18" s="20"/>
      <c r="B18" s="20"/>
      <c r="C18" s="20"/>
    </row>
    <row r="19" spans="1:27">
      <c r="A19" s="20"/>
      <c r="B19" s="20"/>
      <c r="C19" s="20"/>
    </row>
    <row r="20" spans="1:27">
      <c r="A20" s="20"/>
      <c r="B20" s="20"/>
      <c r="C20" s="20"/>
    </row>
    <row r="21" spans="1:27">
      <c r="A21" s="20"/>
      <c r="B21" s="20"/>
      <c r="C21" s="20"/>
    </row>
    <row r="22" spans="1:27">
      <c r="A22" s="20"/>
      <c r="B22" s="20"/>
      <c r="C22" s="20"/>
    </row>
    <row r="23" spans="1:27">
      <c r="A23" s="20"/>
      <c r="B23" s="20"/>
      <c r="C23" s="20"/>
    </row>
    <row r="24" spans="1:27">
      <c r="A24" s="20"/>
      <c r="B24" s="20"/>
      <c r="C24" s="20"/>
    </row>
    <row r="25" spans="1:27">
      <c r="A25" s="20"/>
      <c r="B25" s="20"/>
      <c r="C25" s="20"/>
    </row>
    <row r="26" spans="1:27">
      <c r="A26" s="20"/>
      <c r="B26" s="20"/>
      <c r="C26" s="20"/>
    </row>
    <row r="27" spans="1:27">
      <c r="A27" s="20"/>
      <c r="B27" s="20"/>
      <c r="C27" s="20"/>
    </row>
    <row r="28" spans="1:27">
      <c r="A28" s="20"/>
      <c r="B28" s="20"/>
      <c r="C28" s="20"/>
    </row>
    <row r="29" spans="1:27">
      <c r="A29" s="20"/>
      <c r="B29" s="20"/>
      <c r="C29" s="20"/>
      <c r="D29" s="25" t="s">
        <v>442</v>
      </c>
      <c r="E29" s="25"/>
      <c r="F29" s="25"/>
      <c r="G29" s="25"/>
      <c r="H29" s="25"/>
      <c r="I29" s="25"/>
      <c r="J29" s="25"/>
      <c r="K29" s="25"/>
      <c r="L29" s="25"/>
      <c r="M29" s="25"/>
      <c r="N29" s="25"/>
      <c r="O29" s="25"/>
      <c r="P29" s="22" t="s">
        <v>443</v>
      </c>
      <c r="Q29" s="22"/>
      <c r="R29" s="22"/>
      <c r="S29" s="22"/>
      <c r="T29" s="22"/>
      <c r="U29" s="22"/>
      <c r="V29" s="22"/>
      <c r="W29" s="22"/>
      <c r="X29" s="22"/>
      <c r="Y29" s="22"/>
      <c r="Z29" s="22"/>
      <c r="AA29" s="22"/>
    </row>
    <row r="30" spans="1:27">
      <c r="A30" s="20"/>
      <c r="B30" s="20"/>
      <c r="C30" s="20"/>
    </row>
    <row r="31" spans="1:27">
      <c r="A31" s="20"/>
      <c r="B31" s="20"/>
      <c r="C31" s="20"/>
    </row>
    <row r="32" spans="1:27">
      <c r="A32" s="20"/>
      <c r="B32" s="20"/>
      <c r="C32" s="20"/>
    </row>
    <row r="33" spans="1:27">
      <c r="A33" s="20"/>
      <c r="B33" s="20"/>
      <c r="C33" s="20"/>
    </row>
    <row r="34" spans="1:27">
      <c r="A34" s="20"/>
      <c r="B34" s="20"/>
      <c r="C34" s="20"/>
    </row>
    <row r="35" spans="1:27">
      <c r="A35" s="20"/>
      <c r="B35" s="20"/>
      <c r="C35" s="20"/>
    </row>
    <row r="36" spans="1:27">
      <c r="A36" s="20"/>
      <c r="B36" s="20"/>
      <c r="C36" s="20"/>
    </row>
    <row r="37" spans="1:27">
      <c r="A37" s="20"/>
      <c r="B37" s="20"/>
      <c r="C37" s="20"/>
    </row>
    <row r="38" spans="1:27">
      <c r="A38" s="20"/>
      <c r="B38" s="20"/>
      <c r="C38" s="20"/>
    </row>
    <row r="39" spans="1:27">
      <c r="A39" s="20"/>
      <c r="B39" s="20"/>
      <c r="C39" s="20"/>
    </row>
    <row r="40" spans="1:27">
      <c r="A40" s="20"/>
      <c r="B40" s="20"/>
      <c r="C40" s="20"/>
    </row>
    <row r="41" spans="1:27">
      <c r="A41" s="20"/>
      <c r="B41" s="20"/>
      <c r="C41" s="20"/>
    </row>
    <row r="42" spans="1:27">
      <c r="A42" s="20"/>
      <c r="B42" s="20"/>
      <c r="C42" s="20"/>
    </row>
    <row r="43" spans="1:27">
      <c r="A43" s="20"/>
      <c r="B43" s="20"/>
      <c r="C43" s="20"/>
    </row>
    <row r="44" spans="1:27">
      <c r="A44" s="20"/>
      <c r="B44" s="20"/>
      <c r="C44" s="20"/>
    </row>
    <row r="45" spans="1:27">
      <c r="A45" s="20"/>
      <c r="B45" s="20"/>
      <c r="C45" s="20"/>
    </row>
    <row r="46" spans="1:27">
      <c r="A46" s="20"/>
      <c r="B46" s="20"/>
      <c r="C46" s="20"/>
      <c r="D46" s="25" t="s">
        <v>441</v>
      </c>
      <c r="E46" s="25"/>
      <c r="F46" s="25"/>
      <c r="G46" s="25"/>
      <c r="H46" s="25"/>
      <c r="I46" s="25"/>
      <c r="J46" s="25"/>
      <c r="K46" s="25"/>
      <c r="L46" s="25"/>
      <c r="M46" s="25"/>
      <c r="N46" s="25"/>
      <c r="O46" s="25"/>
      <c r="P46" s="25"/>
      <c r="Q46" s="25"/>
      <c r="R46" s="25"/>
      <c r="S46" s="25"/>
      <c r="T46" s="25"/>
      <c r="U46" s="25"/>
      <c r="V46" s="25"/>
      <c r="W46" s="25"/>
      <c r="X46" s="25"/>
      <c r="Y46" s="25"/>
      <c r="Z46" s="25"/>
      <c r="AA46" s="25"/>
    </row>
    <row r="47" spans="1:27">
      <c r="A47" s="20"/>
      <c r="B47" s="20"/>
      <c r="C47" s="20"/>
    </row>
    <row r="48" spans="1:27">
      <c r="A48" s="20"/>
      <c r="B48" s="20"/>
      <c r="C48" s="20"/>
    </row>
    <row r="49" spans="1:27">
      <c r="A49" s="20"/>
      <c r="B49" s="20"/>
      <c r="C49" s="20"/>
    </row>
    <row r="50" spans="1:27">
      <c r="A50" s="20"/>
      <c r="B50" s="20"/>
      <c r="C50" s="20"/>
    </row>
    <row r="51" spans="1:27">
      <c r="A51" s="20"/>
      <c r="B51" s="20"/>
      <c r="C51" s="20"/>
    </row>
    <row r="52" spans="1:27">
      <c r="A52" s="20"/>
      <c r="B52" s="20"/>
      <c r="C52" s="20"/>
    </row>
    <row r="53" spans="1:27">
      <c r="A53" s="20"/>
      <c r="B53" s="20"/>
      <c r="C53" s="20"/>
    </row>
    <row r="54" spans="1:27">
      <c r="A54" s="20"/>
      <c r="B54" s="20"/>
      <c r="C54" s="20"/>
    </row>
    <row r="55" spans="1:27">
      <c r="A55" s="20"/>
      <c r="B55" s="20"/>
      <c r="C55" s="20"/>
    </row>
    <row r="56" spans="1:27">
      <c r="A56" s="20"/>
      <c r="B56" s="20"/>
      <c r="C56" s="20"/>
    </row>
    <row r="57" spans="1:27">
      <c r="A57" s="20"/>
      <c r="B57" s="20"/>
      <c r="C57" s="20"/>
    </row>
    <row r="58" spans="1:27">
      <c r="A58" s="20"/>
      <c r="B58" s="20"/>
      <c r="C58" s="20"/>
    </row>
    <row r="59" spans="1:27">
      <c r="A59" s="20"/>
      <c r="B59" s="20"/>
      <c r="C59" s="20"/>
    </row>
    <row r="60" spans="1:27">
      <c r="A60" s="20"/>
      <c r="B60" s="20"/>
      <c r="C60" s="20"/>
    </row>
    <row r="61" spans="1:27">
      <c r="A61" s="20"/>
      <c r="B61" s="20"/>
      <c r="C61" s="20"/>
    </row>
    <row r="62" spans="1:27">
      <c r="A62" s="20"/>
      <c r="B62" s="20"/>
      <c r="C62" s="20"/>
    </row>
    <row r="63" spans="1:27">
      <c r="Z63" s="23"/>
      <c r="AA63" s="23"/>
    </row>
  </sheetData>
  <mergeCells count="24">
    <mergeCell ref="A10:C62"/>
    <mergeCell ref="A3:AA8"/>
    <mergeCell ref="P12:AA12"/>
    <mergeCell ref="D12:O12"/>
    <mergeCell ref="D29:O29"/>
    <mergeCell ref="P29:AA29"/>
    <mergeCell ref="D46:AA46"/>
    <mergeCell ref="J10:L11"/>
    <mergeCell ref="M10:O11"/>
    <mergeCell ref="P10:R11"/>
    <mergeCell ref="S10:U11"/>
    <mergeCell ref="V10:X11"/>
    <mergeCell ref="Y10:AA11"/>
    <mergeCell ref="P9:R9"/>
    <mergeCell ref="S9:U9"/>
    <mergeCell ref="V9:X9"/>
    <mergeCell ref="Y9:AA9"/>
    <mergeCell ref="A9:C9"/>
    <mergeCell ref="D9:F9"/>
    <mergeCell ref="D10:F11"/>
    <mergeCell ref="G9:I9"/>
    <mergeCell ref="J9:L9"/>
    <mergeCell ref="M9:O9"/>
    <mergeCell ref="G10:I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D9D14-100F-4824-BB99-63951FE3AFA5}">
  <dimension ref="A1:T35"/>
  <sheetViews>
    <sheetView topLeftCell="A11" zoomScale="115" zoomScaleNormal="115" workbookViewId="0">
      <selection activeCell="E16" sqref="E16"/>
    </sheetView>
  </sheetViews>
  <sheetFormatPr defaultRowHeight="13.8"/>
  <cols>
    <col min="1" max="1" width="11.796875" bestFit="1" customWidth="1"/>
    <col min="2" max="2" width="13.296875" bestFit="1" customWidth="1"/>
    <col min="3" max="3" width="9.8984375" bestFit="1" customWidth="1"/>
    <col min="9" max="9" width="9.8984375" bestFit="1" customWidth="1"/>
    <col min="10" max="11" width="13.3984375" bestFit="1" customWidth="1"/>
    <col min="18" max="18" width="10.796875" bestFit="1" customWidth="1"/>
    <col min="19" max="19" width="11.09765625" bestFit="1" customWidth="1"/>
  </cols>
  <sheetData>
    <row r="1" spans="1:20">
      <c r="A1" s="30" t="s">
        <v>446</v>
      </c>
      <c r="B1" s="31"/>
      <c r="C1" s="31"/>
      <c r="D1" s="31"/>
      <c r="E1" s="31"/>
      <c r="F1" s="31"/>
      <c r="G1" s="31"/>
      <c r="H1" s="31"/>
      <c r="I1" s="31"/>
      <c r="J1" s="31"/>
    </row>
    <row r="2" spans="1:20">
      <c r="A2" s="31"/>
      <c r="B2" s="31"/>
      <c r="C2" s="31"/>
      <c r="D2" s="31"/>
      <c r="E2" s="31"/>
      <c r="F2" s="31"/>
      <c r="G2" s="31"/>
      <c r="H2" s="31"/>
      <c r="I2" s="31"/>
      <c r="J2" s="31"/>
    </row>
    <row r="3" spans="1:20">
      <c r="A3" s="31"/>
      <c r="B3" s="31"/>
      <c r="C3" s="31"/>
      <c r="D3" s="31"/>
      <c r="E3" s="31"/>
      <c r="F3" s="31"/>
      <c r="G3" s="31"/>
      <c r="H3" s="31"/>
      <c r="I3" s="31"/>
      <c r="J3" s="31"/>
    </row>
    <row r="6" spans="1:20">
      <c r="A6" s="20" t="s">
        <v>447</v>
      </c>
      <c r="B6" s="20"/>
      <c r="C6" s="20"/>
      <c r="H6" s="20" t="s">
        <v>454</v>
      </c>
      <c r="I6" s="20"/>
      <c r="J6" s="20"/>
      <c r="K6" s="20"/>
      <c r="Q6" s="20" t="s">
        <v>448</v>
      </c>
      <c r="R6" s="20"/>
      <c r="S6" s="20"/>
      <c r="T6" s="20"/>
    </row>
    <row r="7" spans="1:20">
      <c r="A7" s="20"/>
      <c r="B7" s="20"/>
      <c r="C7" s="20"/>
      <c r="H7" s="20"/>
      <c r="I7" s="20"/>
      <c r="J7" s="20"/>
      <c r="K7" s="20"/>
      <c r="Q7" s="20"/>
      <c r="R7" s="20"/>
      <c r="S7" s="20"/>
      <c r="T7" s="20"/>
    </row>
    <row r="8" spans="1:20">
      <c r="A8">
        <v>1</v>
      </c>
      <c r="B8" t="s">
        <v>449</v>
      </c>
      <c r="C8">
        <f>COUNTBLANK('06_Electricity'!A2:A301)</f>
        <v>15</v>
      </c>
      <c r="I8" t="s">
        <v>96</v>
      </c>
    </row>
    <row r="9" spans="1:20">
      <c r="A9">
        <v>2</v>
      </c>
      <c r="B9" t="s">
        <v>450</v>
      </c>
      <c r="C9">
        <f>COUNTBLANK('06_Electricity'!B2:B301)</f>
        <v>15</v>
      </c>
      <c r="H9">
        <v>1</v>
      </c>
      <c r="I9" t="s">
        <v>90</v>
      </c>
      <c r="J9">
        <f>COUNTIF('06_Electricity'!C2:C301,"Baidoa")</f>
        <v>31</v>
      </c>
      <c r="R9" t="s">
        <v>106</v>
      </c>
      <c r="S9">
        <f>COUNTIF('06_Electricity'!D2:D301,"Commercial")</f>
        <v>75</v>
      </c>
    </row>
    <row r="10" spans="1:20">
      <c r="A10">
        <v>3</v>
      </c>
      <c r="B10" t="s">
        <v>440</v>
      </c>
      <c r="C10">
        <f>COUNTBLANK('06_Electricity'!C2:C301)</f>
        <v>15</v>
      </c>
      <c r="H10">
        <v>2</v>
      </c>
      <c r="I10" t="s">
        <v>89</v>
      </c>
      <c r="J10">
        <f>COUNTIF('06_Electricity'!C2:C301,"Bosaso")</f>
        <v>38</v>
      </c>
      <c r="R10" t="s">
        <v>101</v>
      </c>
      <c r="S10">
        <f>COUNTIF('06_Electricity'!D2:D301,"Residential")</f>
        <v>187</v>
      </c>
    </row>
    <row r="11" spans="1:20">
      <c r="A11">
        <v>4</v>
      </c>
      <c r="B11" t="s">
        <v>451</v>
      </c>
      <c r="C11">
        <f>COUNTBLANK('06_Electricity'!D2:D301)</f>
        <v>16</v>
      </c>
      <c r="H11">
        <v>3</v>
      </c>
      <c r="I11" t="s">
        <v>92</v>
      </c>
      <c r="J11">
        <f>COUNTIF('06_Electricity'!C2:C301,"Garowe")</f>
        <v>32</v>
      </c>
      <c r="R11" t="s">
        <v>110</v>
      </c>
      <c r="S11">
        <f>COUNTIF('06_Electricity'!D2:D301,"Industrial")</f>
        <v>20</v>
      </c>
    </row>
    <row r="12" spans="1:20">
      <c r="A12">
        <v>5</v>
      </c>
      <c r="B12" t="s">
        <v>98</v>
      </c>
      <c r="C12">
        <f>COUNTBLANK('06_Electricity'!F2:F301)</f>
        <v>16</v>
      </c>
      <c r="H12">
        <v>4</v>
      </c>
      <c r="I12" t="s">
        <v>88</v>
      </c>
      <c r="J12">
        <f>COUNTIF('06_Electricity'!C2:C301,"Hargeisa")</f>
        <v>58</v>
      </c>
      <c r="R12" t="s">
        <v>85</v>
      </c>
      <c r="S12">
        <f>COUNTIF('06_Electricity'!D2:D301,"Unknown")</f>
        <v>2</v>
      </c>
    </row>
    <row r="13" spans="1:20">
      <c r="A13">
        <v>6</v>
      </c>
      <c r="B13" t="s">
        <v>452</v>
      </c>
      <c r="C13">
        <f>COUNTBLANK('06_Electricity'!F2:F301)</f>
        <v>16</v>
      </c>
      <c r="H13">
        <v>5</v>
      </c>
      <c r="I13" t="s">
        <v>91</v>
      </c>
      <c r="J13">
        <f>COUNTIF('06_Electricity'!C2:C301,"Kismayo")</f>
        <v>28</v>
      </c>
      <c r="R13" t="s">
        <v>457</v>
      </c>
      <c r="S13">
        <f>COUNTIF('06_Electricity'!D2:D301,"")</f>
        <v>16</v>
      </c>
    </row>
    <row r="14" spans="1:20">
      <c r="A14">
        <v>7</v>
      </c>
      <c r="B14" t="s">
        <v>96</v>
      </c>
      <c r="C14">
        <f>COUNTBLANK('06_Electricity'!C2:C301)</f>
        <v>15</v>
      </c>
      <c r="H14">
        <v>6</v>
      </c>
      <c r="I14" t="s">
        <v>87</v>
      </c>
      <c r="J14">
        <f>COUNTIF('06_Electricity'!C2:C301,"Mogadishu")</f>
        <v>98</v>
      </c>
      <c r="Q14" s="20" t="s">
        <v>456</v>
      </c>
      <c r="R14" s="20"/>
      <c r="S14">
        <f>SUM(S9:S13)</f>
        <v>300</v>
      </c>
    </row>
    <row r="15" spans="1:20">
      <c r="A15" s="23"/>
      <c r="B15" s="23"/>
      <c r="H15">
        <v>7</v>
      </c>
      <c r="I15" t="s">
        <v>455</v>
      </c>
      <c r="J15">
        <f>COUNTIF('06_Electricity'!C2:C301,"")</f>
        <v>15</v>
      </c>
    </row>
    <row r="16" spans="1:20">
      <c r="A16" s="32" t="s">
        <v>456</v>
      </c>
      <c r="B16" s="32"/>
      <c r="C16">
        <f>SUM(C8:C14)</f>
        <v>108</v>
      </c>
      <c r="H16" s="20" t="s">
        <v>456</v>
      </c>
      <c r="I16" s="20"/>
      <c r="J16">
        <f>SUM(J9:J15)</f>
        <v>300</v>
      </c>
    </row>
    <row r="21" spans="1:20">
      <c r="A21" s="20" t="s">
        <v>459</v>
      </c>
      <c r="B21" s="20"/>
      <c r="C21" s="20"/>
      <c r="H21" s="20" t="s">
        <v>98</v>
      </c>
      <c r="I21" s="20"/>
      <c r="J21" s="20"/>
      <c r="K21" s="20"/>
      <c r="Q21" s="20" t="s">
        <v>461</v>
      </c>
      <c r="R21" s="20"/>
      <c r="S21" s="20"/>
      <c r="T21" s="20"/>
    </row>
    <row r="22" spans="1:20">
      <c r="A22" s="20"/>
      <c r="B22" s="20"/>
      <c r="C22" s="20"/>
      <c r="H22" s="20"/>
      <c r="I22" s="20"/>
      <c r="J22" s="20"/>
      <c r="K22" s="20"/>
      <c r="Q22" s="20"/>
      <c r="R22" s="20"/>
      <c r="S22" s="20"/>
      <c r="T22" s="20"/>
    </row>
    <row r="23" spans="1:20">
      <c r="B23" t="s">
        <v>458</v>
      </c>
      <c r="C23" t="s">
        <v>97</v>
      </c>
      <c r="I23" t="s">
        <v>96</v>
      </c>
      <c r="J23" t="s">
        <v>98</v>
      </c>
    </row>
    <row r="24" spans="1:20">
      <c r="B24" t="s">
        <v>90</v>
      </c>
      <c r="C24">
        <f>SUMIF('06_Electricity'!C2:C301,"Baidoa",'06_Electricity'!E2:E301)</f>
        <v>30969.400000000005</v>
      </c>
      <c r="I24" t="s">
        <v>90</v>
      </c>
      <c r="J24">
        <f>SUMIF('06_Electricity'!C2:C301,"Baidoa",'06_Electricity'!F2:F301)</f>
        <v>5.7789999999999999</v>
      </c>
      <c r="R24" t="s">
        <v>90</v>
      </c>
      <c r="S24" s="35">
        <f>SUMIF(Data_clean!C2:C301,"Baidoa",Data_clean!H2:H301)</f>
        <v>5807.897100000001</v>
      </c>
    </row>
    <row r="25" spans="1:20">
      <c r="B25" t="s">
        <v>89</v>
      </c>
      <c r="C25">
        <f>SUMIF('06_Electricity'!C2:C301,"Bosaso",'06_Electricity'!E2:E301)</f>
        <v>29487.600000000006</v>
      </c>
      <c r="I25" t="s">
        <v>89</v>
      </c>
      <c r="J25">
        <f>SUMIF('06_Electricity'!C2:C301,"Bosaso",'06_Electricity'!F2:F301)</f>
        <v>7.3559999999999999</v>
      </c>
      <c r="R25" t="s">
        <v>89</v>
      </c>
      <c r="S25" s="35">
        <f>SUMIF(Data_clean!C2:C301,"Bosaso",Data_clean!H2:H301)</f>
        <v>6562.1675999999998</v>
      </c>
    </row>
    <row r="26" spans="1:20">
      <c r="B26" t="s">
        <v>92</v>
      </c>
      <c r="C26">
        <f>SUMIF('06_Electricity'!C2:C301,"Garowe",'06_Electricity'!E2:E301)</f>
        <v>39842.100000000013</v>
      </c>
      <c r="I26" t="s">
        <v>92</v>
      </c>
      <c r="J26">
        <f>SUMIF('06_Electricity'!C2:C301,"Garowe",'06_Electricity'!F2:F301)</f>
        <v>5.6960000000000015</v>
      </c>
      <c r="R26" t="s">
        <v>92</v>
      </c>
      <c r="S26" s="35">
        <f>SUMIF(Data_clean!C2:C301,"Garowe",Data_clean!H2:H301)</f>
        <v>8735.506400000002</v>
      </c>
    </row>
    <row r="27" spans="1:20">
      <c r="B27" t="s">
        <v>88</v>
      </c>
      <c r="C27">
        <f>SUMIF('06_Electricity'!C2:C301,"Hargeisa",'06_Electricity'!E2:E301)</f>
        <v>51167.700000000026</v>
      </c>
      <c r="I27" t="s">
        <v>88</v>
      </c>
      <c r="J27">
        <f>SUMIF('06_Electricity'!C2:C301,"Hargeisa",'06_Electricity'!F2:F301)</f>
        <v>0.50200000000000011</v>
      </c>
      <c r="R27" t="s">
        <v>88</v>
      </c>
      <c r="S27" s="35">
        <f>SUMIF(Data_clean!C2:C301,"Hargeisa",Data_clean!H2:H301)</f>
        <v>5023.101999999999</v>
      </c>
    </row>
    <row r="28" spans="1:20">
      <c r="B28" t="s">
        <v>91</v>
      </c>
      <c r="C28">
        <f>SUMIF('06_Electricity'!C2:C301,"Kismayo",'06_Electricity'!E2:E301)</f>
        <v>26954</v>
      </c>
      <c r="I28" t="s">
        <v>91</v>
      </c>
      <c r="J28">
        <f>SUMIF('06_Electricity'!C2:C301,"Kismayo",'06_Electricity'!F2:F301)</f>
        <v>4.7640000000000002</v>
      </c>
      <c r="R28" t="s">
        <v>91</v>
      </c>
      <c r="S28" s="35">
        <f>SUMIF(Data_clean!C2:C301,"Kismayo",Data_clean!H2:H301)</f>
        <v>5058.1601000000001</v>
      </c>
    </row>
    <row r="29" spans="1:20">
      <c r="B29" t="s">
        <v>87</v>
      </c>
      <c r="C29">
        <f>SUMIF('06_Electricity'!C2:C301,"Mogadishu",'06_Electricity'!E2:E301)</f>
        <v>100110.40000000002</v>
      </c>
      <c r="I29" t="s">
        <v>87</v>
      </c>
      <c r="J29">
        <f>SUMIF('06_Electricity'!C2:C301,"Mogadishu",'06_Electricity'!F2:F301)</f>
        <v>41.232000000000006</v>
      </c>
      <c r="R29" t="s">
        <v>87</v>
      </c>
      <c r="S29" s="35">
        <f>SUMIF(Data_clean!C2:C301,"Mogadishu",Data_clean!H2:H301)</f>
        <v>21422.382699999984</v>
      </c>
    </row>
    <row r="30" spans="1:20">
      <c r="B30" t="s">
        <v>455</v>
      </c>
      <c r="C30">
        <f>SUMIF('06_Electricity'!C2:C301,"",'06_Electricity'!E2:E301)</f>
        <v>13910.499999999998</v>
      </c>
      <c r="I30" t="s">
        <v>455</v>
      </c>
      <c r="J30">
        <f>SUMIF('06_Electricity'!C2:C301,"",'06_Electricity'!F2:F301)</f>
        <v>2.8379999999999996</v>
      </c>
      <c r="R30" t="s">
        <v>455</v>
      </c>
      <c r="S30" s="35">
        <f>SUMIF(Data_clean!C2:C301,"non_area",Data_clean!H2:H301)</f>
        <v>3044.3631000000009</v>
      </c>
    </row>
    <row r="31" spans="1:20">
      <c r="A31" s="32" t="s">
        <v>456</v>
      </c>
      <c r="B31" s="32"/>
      <c r="C31">
        <f>SUM(C24:C30)</f>
        <v>292441.70000000007</v>
      </c>
      <c r="H31" s="32" t="s">
        <v>460</v>
      </c>
      <c r="I31" s="32"/>
      <c r="J31">
        <f>SUM(J24:J30)</f>
        <v>68.167000000000002</v>
      </c>
      <c r="Q31" s="32" t="s">
        <v>456</v>
      </c>
      <c r="R31" s="32"/>
      <c r="S31" s="36">
        <f>SUM(S24:S30)</f>
        <v>55653.578999999983</v>
      </c>
    </row>
    <row r="34" spans="1:3">
      <c r="A34" s="20" t="s">
        <v>453</v>
      </c>
      <c r="B34" s="20"/>
      <c r="C34" s="20"/>
    </row>
    <row r="35" spans="1:3">
      <c r="A35" s="20"/>
      <c r="B35" s="20"/>
      <c r="C35" s="20"/>
    </row>
  </sheetData>
  <mergeCells count="14">
    <mergeCell ref="Q14:R14"/>
    <mergeCell ref="A16:B16"/>
    <mergeCell ref="A31:B31"/>
    <mergeCell ref="H31:I31"/>
    <mergeCell ref="Q31:R31"/>
    <mergeCell ref="A6:C7"/>
    <mergeCell ref="H6:K7"/>
    <mergeCell ref="Q6:T7"/>
    <mergeCell ref="A21:C22"/>
    <mergeCell ref="H21:K22"/>
    <mergeCell ref="Q21:T22"/>
    <mergeCell ref="A34:C35"/>
    <mergeCell ref="H16:I16"/>
    <mergeCell ref="A1:J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6936-3B69-43F1-BE97-1E70542B2E51}">
  <dimension ref="A2:O250"/>
  <sheetViews>
    <sheetView topLeftCell="A27" workbookViewId="0">
      <selection activeCell="C32" sqref="C32"/>
    </sheetView>
  </sheetViews>
  <sheetFormatPr defaultRowHeight="13.8" outlineLevelRow="1"/>
  <cols>
    <col min="1" max="2" width="13.09765625" bestFit="1" customWidth="1"/>
    <col min="3" max="3" width="24" bestFit="1" customWidth="1"/>
    <col min="4" max="4" width="23.09765625" bestFit="1" customWidth="1"/>
    <col min="5" max="5" width="17.09765625" bestFit="1" customWidth="1"/>
    <col min="6" max="6" width="13.09765625" bestFit="1" customWidth="1"/>
    <col min="7" max="7" width="20.5" bestFit="1" customWidth="1"/>
    <col min="8" max="10" width="17.09765625" bestFit="1" customWidth="1"/>
    <col min="14" max="14" width="13.09765625" bestFit="1" customWidth="1"/>
    <col min="15" max="15" width="20.5" bestFit="1" customWidth="1"/>
  </cols>
  <sheetData>
    <row r="2" spans="1:8">
      <c r="A2" s="8" t="s">
        <v>389</v>
      </c>
      <c r="B2" t="s">
        <v>391</v>
      </c>
      <c r="C2" t="s">
        <v>417</v>
      </c>
      <c r="F2" s="8" t="s">
        <v>389</v>
      </c>
      <c r="G2" t="s">
        <v>417</v>
      </c>
      <c r="H2" t="s">
        <v>391</v>
      </c>
    </row>
    <row r="3" spans="1:8">
      <c r="A3" s="9" t="s">
        <v>90</v>
      </c>
      <c r="B3" s="7">
        <v>30969.399999999998</v>
      </c>
      <c r="C3" s="7">
        <v>5807.897100000001</v>
      </c>
      <c r="F3" s="9" t="s">
        <v>106</v>
      </c>
      <c r="G3" s="7">
        <v>19009.89320000001</v>
      </c>
      <c r="H3" s="7">
        <v>96154.599999999991</v>
      </c>
    </row>
    <row r="4" spans="1:8">
      <c r="A4" s="9" t="s">
        <v>89</v>
      </c>
      <c r="B4" s="7">
        <v>29487.599999999999</v>
      </c>
      <c r="C4" s="7">
        <v>6562.1675999999998</v>
      </c>
      <c r="F4" s="9" t="s">
        <v>110</v>
      </c>
      <c r="G4" s="7">
        <v>23422.939300000002</v>
      </c>
      <c r="H4" s="7">
        <v>92410.299999999988</v>
      </c>
    </row>
    <row r="5" spans="1:8">
      <c r="A5" s="9" t="s">
        <v>92</v>
      </c>
      <c r="B5" s="7">
        <v>39842.1</v>
      </c>
      <c r="C5" s="7">
        <v>8735.506400000002</v>
      </c>
      <c r="F5" s="9" t="s">
        <v>463</v>
      </c>
      <c r="G5" s="7">
        <v>5051.0897000000004</v>
      </c>
      <c r="H5" s="7">
        <v>21777</v>
      </c>
    </row>
    <row r="6" spans="1:8">
      <c r="A6" s="9" t="s">
        <v>88</v>
      </c>
      <c r="B6" s="7">
        <v>51167.7</v>
      </c>
      <c r="C6" s="7">
        <v>5023.101999999999</v>
      </c>
      <c r="F6" s="9" t="s">
        <v>101</v>
      </c>
      <c r="G6" s="7">
        <v>8169.656800000007</v>
      </c>
      <c r="H6" s="7">
        <v>82099.799999999988</v>
      </c>
    </row>
    <row r="7" spans="1:8">
      <c r="A7" s="9" t="s">
        <v>91</v>
      </c>
      <c r="B7" s="7">
        <v>26954.000000000004</v>
      </c>
      <c r="C7" s="7">
        <v>5058.1601000000001</v>
      </c>
      <c r="F7" s="9" t="s">
        <v>465</v>
      </c>
      <c r="G7" s="7"/>
      <c r="H7" s="7"/>
    </row>
    <row r="8" spans="1:8">
      <c r="A8" s="9" t="s">
        <v>87</v>
      </c>
      <c r="B8" s="7">
        <v>100110.39999999997</v>
      </c>
      <c r="C8" s="7">
        <v>21422.382699999984</v>
      </c>
      <c r="F8" s="9" t="s">
        <v>390</v>
      </c>
      <c r="G8" s="7">
        <v>55653.57900000002</v>
      </c>
      <c r="H8" s="7">
        <v>292441.69999999995</v>
      </c>
    </row>
    <row r="9" spans="1:8">
      <c r="A9" s="9" t="s">
        <v>462</v>
      </c>
      <c r="B9" s="7">
        <v>13910.5</v>
      </c>
      <c r="C9" s="7">
        <v>3044.3631000000009</v>
      </c>
    </row>
    <row r="10" spans="1:8">
      <c r="A10" s="9" t="s">
        <v>465</v>
      </c>
      <c r="B10" s="7"/>
      <c r="C10" s="7"/>
    </row>
    <row r="11" spans="1:8">
      <c r="A11" s="9" t="s">
        <v>390</v>
      </c>
      <c r="B11" s="7">
        <v>292441.69999999995</v>
      </c>
      <c r="C11" s="7">
        <v>55653.578999999983</v>
      </c>
    </row>
    <row r="32" spans="2:11">
      <c r="B32" s="8" t="s">
        <v>389</v>
      </c>
      <c r="C32" t="s">
        <v>467</v>
      </c>
      <c r="D32" t="s">
        <v>401</v>
      </c>
      <c r="I32" s="10"/>
      <c r="J32" s="11"/>
      <c r="K32" s="12"/>
    </row>
    <row r="33" spans="2:15">
      <c r="B33" s="9" t="s">
        <v>464</v>
      </c>
      <c r="C33" s="7">
        <v>241.32544500000009</v>
      </c>
      <c r="D33" s="7">
        <v>20</v>
      </c>
      <c r="I33" s="13"/>
      <c r="J33" s="14"/>
      <c r="K33" s="15"/>
      <c r="N33" s="8" t="s">
        <v>389</v>
      </c>
      <c r="O33" t="s">
        <v>466</v>
      </c>
    </row>
    <row r="34" spans="2:15">
      <c r="B34" s="9" t="s">
        <v>142</v>
      </c>
      <c r="C34" s="7">
        <v>243.77100555555555</v>
      </c>
      <c r="D34" s="7">
        <v>36</v>
      </c>
      <c r="I34" s="13"/>
      <c r="J34" s="14"/>
      <c r="K34" s="15"/>
      <c r="N34" s="9" t="s">
        <v>90</v>
      </c>
      <c r="O34" s="7">
        <v>999.01290322580633</v>
      </c>
    </row>
    <row r="35" spans="2:15" outlineLevel="1">
      <c r="B35" s="9" t="s">
        <v>104</v>
      </c>
      <c r="C35" s="7">
        <v>180.71922578947374</v>
      </c>
      <c r="D35" s="7">
        <v>190</v>
      </c>
      <c r="I35" s="13"/>
      <c r="J35" s="14"/>
      <c r="K35" s="15"/>
      <c r="N35" s="9" t="s">
        <v>89</v>
      </c>
      <c r="O35" s="7">
        <v>775.98947368421045</v>
      </c>
    </row>
    <row r="36" spans="2:15" outlineLevel="1">
      <c r="B36" s="9" t="s">
        <v>102</v>
      </c>
      <c r="C36" s="7">
        <v>142.86409259259264</v>
      </c>
      <c r="D36" s="7">
        <v>54</v>
      </c>
      <c r="I36" s="13"/>
      <c r="J36" s="14"/>
      <c r="K36" s="15"/>
      <c r="N36" s="9" t="s">
        <v>92</v>
      </c>
      <c r="O36" s="7">
        <v>1245.065625</v>
      </c>
    </row>
    <row r="37" spans="2:15" outlineLevel="1">
      <c r="B37" s="9" t="s">
        <v>465</v>
      </c>
      <c r="C37" s="7"/>
      <c r="D37" s="7"/>
      <c r="I37" s="13"/>
      <c r="J37" s="14"/>
      <c r="K37" s="15"/>
      <c r="N37" s="9" t="s">
        <v>88</v>
      </c>
      <c r="O37" s="7">
        <v>882.20172413793102</v>
      </c>
    </row>
    <row r="38" spans="2:15" outlineLevel="1">
      <c r="B38" s="9" t="s">
        <v>390</v>
      </c>
      <c r="C38" s="7">
        <v>185.51193000000006</v>
      </c>
      <c r="D38" s="7">
        <v>300</v>
      </c>
      <c r="I38" s="13"/>
      <c r="J38" s="14"/>
      <c r="K38" s="15"/>
      <c r="N38" s="9" t="s">
        <v>91</v>
      </c>
      <c r="O38" s="7">
        <v>962.64285714285722</v>
      </c>
    </row>
    <row r="39" spans="2:15" outlineLevel="1">
      <c r="I39" s="13"/>
      <c r="J39" s="14"/>
      <c r="K39" s="15"/>
      <c r="N39" s="9" t="s">
        <v>87</v>
      </c>
      <c r="O39" s="7">
        <v>1021.5346938775507</v>
      </c>
    </row>
    <row r="40" spans="2:15" outlineLevel="1">
      <c r="I40" s="13"/>
      <c r="J40" s="14"/>
      <c r="K40" s="15"/>
      <c r="N40" s="9" t="s">
        <v>462</v>
      </c>
      <c r="O40" s="7">
        <v>927.36666666666667</v>
      </c>
    </row>
    <row r="41" spans="2:15" outlineLevel="1">
      <c r="I41" s="13"/>
      <c r="J41" s="14"/>
      <c r="K41" s="15"/>
      <c r="N41" s="9" t="s">
        <v>465</v>
      </c>
      <c r="O41" s="7"/>
    </row>
    <row r="42" spans="2:15" outlineLevel="1">
      <c r="I42" s="13"/>
      <c r="J42" s="14"/>
      <c r="K42" s="15"/>
      <c r="N42" s="9" t="s">
        <v>390</v>
      </c>
      <c r="O42" s="7">
        <v>974.80566666666766</v>
      </c>
    </row>
    <row r="43" spans="2:15" outlineLevel="1">
      <c r="I43" s="13"/>
      <c r="J43" s="14"/>
      <c r="K43" s="15"/>
    </row>
    <row r="44" spans="2:15" outlineLevel="1">
      <c r="I44" s="13"/>
      <c r="J44" s="14"/>
      <c r="K44" s="15"/>
    </row>
    <row r="45" spans="2:15" outlineLevel="1">
      <c r="I45" s="13"/>
      <c r="J45" s="14"/>
      <c r="K45" s="15"/>
    </row>
    <row r="46" spans="2:15" outlineLevel="1">
      <c r="I46" s="13"/>
      <c r="J46" s="14"/>
      <c r="K46" s="15"/>
    </row>
    <row r="47" spans="2:15" outlineLevel="1">
      <c r="I47" s="13"/>
      <c r="J47" s="14"/>
      <c r="K47" s="15"/>
    </row>
    <row r="48" spans="2:15" outlineLevel="1">
      <c r="I48" s="13"/>
      <c r="J48" s="14"/>
      <c r="K48" s="15"/>
    </row>
    <row r="49" spans="9:11" outlineLevel="1">
      <c r="I49" s="16"/>
      <c r="J49" s="17"/>
      <c r="K49" s="18"/>
    </row>
    <row r="50" spans="9:11" outlineLevel="1"/>
    <row r="51" spans="9:11" outlineLevel="1"/>
    <row r="52" spans="9:11" outlineLevel="1"/>
    <row r="53" spans="9:11" outlineLevel="1"/>
    <row r="54" spans="9:11" outlineLevel="1"/>
    <row r="55" spans="9:11" outlineLevel="1"/>
    <row r="56" spans="9:11" outlineLevel="1"/>
    <row r="57" spans="9:11" outlineLevel="1"/>
    <row r="58" spans="9:11" outlineLevel="1"/>
    <row r="59" spans="9:11" outlineLevel="1"/>
    <row r="60" spans="9:11" outlineLevel="1"/>
    <row r="61" spans="9:11" outlineLevel="1"/>
    <row r="62" spans="9:11" outlineLevel="1"/>
    <row r="63" spans="9:11" outlineLevel="1"/>
    <row r="64" spans="9:11" outlineLevel="1"/>
    <row r="65" outlineLevel="1"/>
    <row r="66" outlineLevel="1"/>
    <row r="67" outlineLevel="1"/>
    <row r="68" outlineLevel="1"/>
    <row r="69" outlineLevel="1"/>
    <row r="70" outlineLevel="1"/>
    <row r="71" outlineLevel="1"/>
    <row r="72" outlineLevel="1"/>
    <row r="73" outlineLevel="1"/>
    <row r="74" outlineLevel="1"/>
    <row r="75" outlineLevel="1"/>
    <row r="76" outlineLevel="1"/>
    <row r="77" outlineLevel="1"/>
    <row r="78" outlineLevel="1"/>
    <row r="79" outlineLevel="1"/>
    <row r="80" outlineLevel="1"/>
    <row r="81" outlineLevel="1"/>
    <row r="82" outlineLevel="1"/>
    <row r="83" outlineLevel="1"/>
    <row r="84" outlineLevel="1"/>
    <row r="85" outlineLevel="1"/>
    <row r="86" outlineLevel="1"/>
    <row r="87" outlineLevel="1"/>
    <row r="88" outlineLevel="1"/>
    <row r="89" outlineLevel="1"/>
    <row r="90" outlineLevel="1"/>
    <row r="91" outlineLevel="1"/>
    <row r="92" outlineLevel="1"/>
    <row r="93" outlineLevel="1"/>
    <row r="94" outlineLevel="1"/>
    <row r="95" outlineLevel="1"/>
    <row r="96" outlineLevel="1"/>
    <row r="97" outlineLevel="1"/>
    <row r="98" outlineLevel="1"/>
    <row r="99" outlineLevel="1"/>
    <row r="100" outlineLevel="1"/>
    <row r="101" outlineLevel="1"/>
    <row r="102" outlineLevel="1"/>
    <row r="103" outlineLevel="1"/>
    <row r="104" outlineLevel="1"/>
    <row r="105" outlineLevel="1"/>
    <row r="106" outlineLevel="1"/>
    <row r="107" outlineLevel="1"/>
    <row r="108" outlineLevel="1"/>
    <row r="109" outlineLevel="1"/>
    <row r="110" outlineLevel="1"/>
    <row r="111" outlineLevel="1"/>
    <row r="112" outlineLevel="1"/>
    <row r="113" outlineLevel="1"/>
    <row r="114" outlineLevel="1"/>
    <row r="115" outlineLevel="1"/>
    <row r="116" outlineLevel="1"/>
    <row r="117" outlineLevel="1"/>
    <row r="118" outlineLevel="1"/>
    <row r="119" outlineLevel="1"/>
    <row r="120" outlineLevel="1"/>
    <row r="121" outlineLevel="1"/>
    <row r="122" outlineLevel="1"/>
    <row r="123" outlineLevel="1"/>
    <row r="124" outlineLevel="1"/>
    <row r="125" outlineLevel="1"/>
    <row r="126" outlineLevel="1"/>
    <row r="127" outlineLevel="1"/>
    <row r="128" outlineLevel="1"/>
    <row r="129" outlineLevel="1"/>
    <row r="130" outlineLevel="1"/>
    <row r="131" outlineLevel="1"/>
    <row r="132" outlineLevel="1"/>
    <row r="133" outlineLevel="1"/>
    <row r="134" outlineLevel="1"/>
    <row r="135" outlineLevel="1"/>
    <row r="136" outlineLevel="1"/>
    <row r="137" outlineLevel="1"/>
    <row r="138" outlineLevel="1"/>
    <row r="139" outlineLevel="1"/>
    <row r="140" outlineLevel="1"/>
    <row r="141" outlineLevel="1"/>
    <row r="142" outlineLevel="1"/>
    <row r="143" outlineLevel="1"/>
    <row r="144" outlineLevel="1"/>
    <row r="145" outlineLevel="1"/>
    <row r="146" outlineLevel="1"/>
    <row r="147" outlineLevel="1"/>
    <row r="148" outlineLevel="1"/>
    <row r="149" outlineLevel="1"/>
    <row r="150" outlineLevel="1"/>
    <row r="151" outlineLevel="1"/>
    <row r="152" outlineLevel="1"/>
    <row r="153" outlineLevel="1"/>
    <row r="154" outlineLevel="1"/>
    <row r="155" outlineLevel="1"/>
    <row r="156" outlineLevel="1"/>
    <row r="157" outlineLevel="1"/>
    <row r="158" outlineLevel="1"/>
    <row r="159" outlineLevel="1"/>
    <row r="160" outlineLevel="1"/>
    <row r="161" outlineLevel="1"/>
    <row r="162" outlineLevel="1"/>
    <row r="163" outlineLevel="1"/>
    <row r="164" outlineLevel="1"/>
    <row r="165" outlineLevel="1"/>
    <row r="166" outlineLevel="1"/>
    <row r="167" outlineLevel="1"/>
    <row r="168" outlineLevel="1"/>
    <row r="169" outlineLevel="1"/>
    <row r="170" outlineLevel="1"/>
    <row r="171" outlineLevel="1"/>
    <row r="172" outlineLevel="1"/>
    <row r="173" outlineLevel="1"/>
    <row r="174" outlineLevel="1"/>
    <row r="175" outlineLevel="1"/>
    <row r="176" outlineLevel="1"/>
    <row r="177" outlineLevel="1"/>
    <row r="178" outlineLevel="1"/>
    <row r="179" outlineLevel="1"/>
    <row r="180" outlineLevel="1"/>
    <row r="181" outlineLevel="1"/>
    <row r="182" outlineLevel="1"/>
    <row r="183" outlineLevel="1"/>
    <row r="184" outlineLevel="1"/>
    <row r="185" outlineLevel="1"/>
    <row r="186" outlineLevel="1"/>
    <row r="187" outlineLevel="1"/>
    <row r="188" outlineLevel="1"/>
    <row r="189" outlineLevel="1"/>
    <row r="190" outlineLevel="1"/>
    <row r="191" outlineLevel="1"/>
    <row r="192" outlineLevel="1"/>
    <row r="193" outlineLevel="1"/>
    <row r="194" outlineLevel="1"/>
    <row r="195" outlineLevel="1"/>
    <row r="196" outlineLevel="1"/>
    <row r="197" outlineLevel="1"/>
    <row r="198" outlineLevel="1"/>
    <row r="199" outlineLevel="1"/>
    <row r="200" outlineLevel="1"/>
    <row r="201" outlineLevel="1"/>
    <row r="202" outlineLevel="1"/>
    <row r="203" outlineLevel="1"/>
    <row r="204" outlineLevel="1"/>
    <row r="205" outlineLevel="1"/>
    <row r="206" outlineLevel="1"/>
    <row r="207" outlineLevel="1"/>
    <row r="208" outlineLevel="1"/>
    <row r="209" outlineLevel="1"/>
    <row r="210" outlineLevel="1"/>
    <row r="211" outlineLevel="1"/>
    <row r="212" outlineLevel="1"/>
    <row r="213" outlineLevel="1"/>
    <row r="214" outlineLevel="1"/>
    <row r="215" outlineLevel="1"/>
    <row r="216" outlineLevel="1"/>
    <row r="217" outlineLevel="1"/>
    <row r="218" outlineLevel="1"/>
    <row r="219" outlineLevel="1"/>
    <row r="220" outlineLevel="1"/>
    <row r="221" outlineLevel="1"/>
    <row r="222" outlineLevel="1"/>
    <row r="223" outlineLevel="1"/>
    <row r="224" outlineLevel="1"/>
    <row r="225" outlineLevel="1"/>
    <row r="226" outlineLevel="1"/>
    <row r="227" outlineLevel="1"/>
    <row r="228" outlineLevel="1"/>
    <row r="229" outlineLevel="1"/>
    <row r="230" outlineLevel="1"/>
    <row r="231" outlineLevel="1"/>
    <row r="232" outlineLevel="1"/>
    <row r="233" outlineLevel="1"/>
    <row r="234" outlineLevel="1"/>
    <row r="235" outlineLevel="1"/>
    <row r="236" outlineLevel="1"/>
    <row r="237" outlineLevel="1"/>
    <row r="238" outlineLevel="1"/>
    <row r="239" outlineLevel="1"/>
    <row r="240" outlineLevel="1"/>
    <row r="241" outlineLevel="1"/>
    <row r="242" outlineLevel="1"/>
    <row r="243" outlineLevel="1"/>
    <row r="244" outlineLevel="1"/>
    <row r="245" outlineLevel="1"/>
    <row r="246" outlineLevel="1"/>
    <row r="247" outlineLevel="1"/>
    <row r="248" outlineLevel="1"/>
    <row r="249" outlineLevel="1"/>
    <row r="250" outlineLevel="1"/>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Project_Index</vt:lpstr>
      <vt:lpstr>Data_clean</vt:lpstr>
      <vt:lpstr>06_Electricity</vt:lpstr>
      <vt:lpstr>PivotAreaByRevenue</vt:lpstr>
      <vt:lpstr>PovitCustomerType</vt:lpstr>
      <vt:lpstr>PovitPayment</vt:lpstr>
      <vt:lpstr>PivotReading_date</vt:lpstr>
      <vt:lpstr>PovitConsumptionbyArea</vt:lpstr>
      <vt:lpstr>Dashboard</vt:lpstr>
      <vt:lpstr>Analysis</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2026-08-18T09:33:56Z</dcterms:created>
  <dcterms:modified xsi:type="dcterms:W3CDTF">2026-08-29T08:34:58Z</dcterms:modified>
</cp:coreProperties>
</file>